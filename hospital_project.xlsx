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B2ED711D-4FA6-40A3-85D5-E4D58C8D19FA}" xr6:coauthVersionLast="47" xr6:coauthVersionMax="47" xr10:uidLastSave="{00000000-0000-0000-0000-000000000000}"/>
  <workbookProtection lockStructure="1"/>
  <bookViews>
    <workbookView xWindow="-108" yWindow="-108" windowWidth="23256" windowHeight="13896" activeTab="2" xr2:uid="{EFE4624B-EC31-4EEE-B52C-EC360805E3ED}"/>
  </bookViews>
  <sheets>
    <sheet name="clean_data" sheetId="1" r:id="rId1"/>
    <sheet name="Pivot" sheetId="2" r:id="rId2"/>
    <sheet name="Dashboard" sheetId="3" r:id="rId3"/>
  </sheets>
  <definedNames>
    <definedName name="_xlnm._FilterDatabase" localSheetId="0" hidden="1">clean_data!$N$1:$N$987</definedName>
    <definedName name="Slicer_Gender">#N/A</definedName>
    <definedName name="Slicer_Year">#N/A</definedName>
  </definedNames>
  <calcPr calcId="191028"/>
  <pivotCaches>
    <pivotCache cacheId="5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 i="1" l="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3" i="1"/>
  <c r="N4" i="1"/>
  <c r="N5" i="1"/>
  <c r="N6" i="1"/>
  <c r="N7" i="1"/>
  <c r="N8" i="1"/>
  <c r="N9" i="1"/>
  <c r="N10" i="1"/>
  <c r="N2"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3" i="1"/>
  <c r="M4" i="1"/>
  <c r="M5" i="1"/>
  <c r="M6" i="1"/>
  <c r="M7" i="1"/>
  <c r="M8" i="1"/>
  <c r="M9" i="1"/>
  <c r="M10" i="1"/>
  <c r="M11" i="1"/>
  <c r="M12" i="1"/>
  <c r="M13" i="1"/>
  <c r="M14" i="1"/>
  <c r="M15" i="1"/>
  <c r="M16" i="1"/>
  <c r="M17" i="1"/>
  <c r="M18" i="1"/>
  <c r="M2"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20" i="1"/>
  <c r="L121" i="1"/>
  <c r="L122" i="1"/>
  <c r="L123" i="1"/>
  <c r="L124" i="1"/>
  <c r="L125" i="1"/>
  <c r="L114" i="1"/>
  <c r="L115" i="1"/>
  <c r="L116" i="1"/>
  <c r="L117" i="1"/>
  <c r="L118" i="1"/>
  <c r="L119"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6" i="1"/>
  <c r="L7" i="1"/>
  <c r="L3" i="1"/>
  <c r="L4" i="1"/>
  <c r="L5" i="1"/>
  <c r="L2"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2" i="1"/>
  <c r="Q14" i="2"/>
</calcChain>
</file>

<file path=xl/sharedStrings.xml><?xml version="1.0" encoding="utf-8"?>
<sst xmlns="http://schemas.openxmlformats.org/spreadsheetml/2006/main" count="5981" uniqueCount="2147">
  <si>
    <t>Patient ID</t>
  </si>
  <si>
    <t>Name</t>
  </si>
  <si>
    <t>Date of Birth</t>
  </si>
  <si>
    <t>Gender</t>
  </si>
  <si>
    <t>Treatments</t>
  </si>
  <si>
    <t>Doctor's Notes</t>
  </si>
  <si>
    <t>Admit Date</t>
  </si>
  <si>
    <t>Discharge Date</t>
  </si>
  <si>
    <t>Bill Amount</t>
  </si>
  <si>
    <t>Length of Stay</t>
  </si>
  <si>
    <t>Month</t>
  </si>
  <si>
    <t>Year</t>
  </si>
  <si>
    <t>Age</t>
  </si>
  <si>
    <t>ddef52d2-7c7d-4d4a-be24-db2c33ce2ec5</t>
  </si>
  <si>
    <t>Rebecca Mccoy</t>
  </si>
  <si>
    <t>Female</t>
  </si>
  <si>
    <t>Cancer</t>
  </si>
  <si>
    <t>Surgery</t>
  </si>
  <si>
    <t>Discussed surgical options and potential outcomes.</t>
  </si>
  <si>
    <t>8b81bf12-2f4a-4a9b-a8fb-cb69738e3fa7</t>
  </si>
  <si>
    <t>Jordan Mitchell</t>
  </si>
  <si>
    <t>Male</t>
  </si>
  <si>
    <t>Chemotherapy</t>
  </si>
  <si>
    <t>ad2742d9-b36d-4ba0-928a-8f8527e4c89e</t>
  </si>
  <si>
    <t>Michael Harris</t>
  </si>
  <si>
    <t>Radiation Therapy</t>
  </si>
  <si>
    <t>Scheduled for radiation therapy next week.</t>
  </si>
  <si>
    <t>6ca1f52d-57f7-4f93-8564-27e35810c3e6</t>
  </si>
  <si>
    <t>Kyle Johnson</t>
  </si>
  <si>
    <t>1608af13-1733-41ef-b773-f43c6d2782ca</t>
  </si>
  <si>
    <t>Melissa Powell</t>
  </si>
  <si>
    <t>3578865c-c245-45ab-ba82-5271d762990c</t>
  </si>
  <si>
    <t>Daniel Robinson</t>
  </si>
  <si>
    <t>d279b034-7237-4fa3-959e-bc0c4161af9f</t>
  </si>
  <si>
    <t>Mitchell Smith</t>
  </si>
  <si>
    <t>Chemotherapy regimen started; patient informed of side effects.</t>
  </si>
  <si>
    <t>26d2ad27-6e83-4c92-bc93-7465e0a06e5a</t>
  </si>
  <si>
    <t>Jennifer King</t>
  </si>
  <si>
    <t>13b6714e-6e47-4d5b-bf5b-de6024c9e08f</t>
  </si>
  <si>
    <t>James Case</t>
  </si>
  <si>
    <t>3c40ed4c-6fcd-45e6-97af-fe1c517f41a0</t>
  </si>
  <si>
    <t>Valerie Carter</t>
  </si>
  <si>
    <t>88462a18-95ea-4b67-837b-aa171ecead75</t>
  </si>
  <si>
    <t>Cassandra Miller</t>
  </si>
  <si>
    <t>8d7b3cd7-1ca4-44c8-9970-7fd605dafb07</t>
  </si>
  <si>
    <t>Taylor Myers</t>
  </si>
  <si>
    <t>3beb657d-2ef6-42bd-bd92-989791efc764</t>
  </si>
  <si>
    <t>John Ortiz</t>
  </si>
  <si>
    <t>2bd14982-84ba-459e-a2da-364805237e4c</t>
  </si>
  <si>
    <t>Shelley Meyer</t>
  </si>
  <si>
    <t>dcd74605-703c-4a87-9fe1-376447a0d8c4</t>
  </si>
  <si>
    <t>Jennifer Shannon</t>
  </si>
  <si>
    <t>24772bfa-fb2c-4b57-b06e-166cd7b93523</t>
  </si>
  <si>
    <t>Joseph Cross</t>
  </si>
  <si>
    <t>a59a0ff3-2b84-4b6e-89fc-51c376dba430</t>
  </si>
  <si>
    <t>Frank Guerra</t>
  </si>
  <si>
    <t>107f8aa0-610d-4f43-b1c5-05ea582b7793</t>
  </si>
  <si>
    <t>Lori Gay</t>
  </si>
  <si>
    <t>a3532f14-7b87-475d-a05c-7d7ba8046201</t>
  </si>
  <si>
    <t>Sandra Green</t>
  </si>
  <si>
    <t>5e5c8d0c-1b25-4004-95d8-0454e1d818e9</t>
  </si>
  <si>
    <t>Felicia Greene</t>
  </si>
  <si>
    <t>22aa5f7d-0397-4c22-959a-6d1493d566fb</t>
  </si>
  <si>
    <t>Kathleen Woods</t>
  </si>
  <si>
    <t>d48ca678-265e-42e4-86b0-3104b49c5d6d</t>
  </si>
  <si>
    <t>Anthony Harris</t>
  </si>
  <si>
    <t>734a6dec-374e-404a-a032-8dec73d5f1b7</t>
  </si>
  <si>
    <t>Lisa Roberts</t>
  </si>
  <si>
    <t>Dialysis</t>
  </si>
  <si>
    <t>Advised on dietary restrictions to support kidney function.</t>
  </si>
  <si>
    <t>40390e5f-e8e1-45fa-b454-c84c7e387cdb</t>
  </si>
  <si>
    <t>Mary Dixon</t>
  </si>
  <si>
    <t>Heart Disease</t>
  </si>
  <si>
    <t>Prescribed beta-blockers and statins.</t>
  </si>
  <si>
    <t>3c4831ba-1868-4451-a02b-afc5b5035cf4</t>
  </si>
  <si>
    <t>Michelle Bates</t>
  </si>
  <si>
    <t>Patient referred for cardiac catheterization.</t>
  </si>
  <si>
    <t>086376f1-f701-42a8-92a6-021b1e84b841</t>
  </si>
  <si>
    <t>Jennifer Patel</t>
  </si>
  <si>
    <t>COVID-19</t>
  </si>
  <si>
    <t>Ventilation</t>
  </si>
  <si>
    <t>Oxygen therapy administered for low blood oxygen levels.</t>
  </si>
  <si>
    <t>f9842e4a-88eb-452b-8968-167315010ba5</t>
  </si>
  <si>
    <t>Miss Patricia Butler DVM</t>
  </si>
  <si>
    <t>Medication</t>
  </si>
  <si>
    <t>Patient started on dialysis; discussed procedure and schedule.</t>
  </si>
  <si>
    <t>18a63bc1-28da-44e9-9c68-d5a039765e67</t>
  </si>
  <si>
    <t>David Chang</t>
  </si>
  <si>
    <t>Discussed surgical options for coronary artery disease.</t>
  </si>
  <si>
    <t>f19e9aac-015b-4bf3-a484-6cb957a919d9</t>
  </si>
  <si>
    <t>Mia Roberts</t>
  </si>
  <si>
    <t>Antiviral Drugs</t>
  </si>
  <si>
    <t>Monitor for any signs of respiratory failure.</t>
  </si>
  <si>
    <t>a99eae1e-1134-43ee-b1ea-38e51603541a</t>
  </si>
  <si>
    <t>Nicole Vance</t>
  </si>
  <si>
    <t>Oxygen Therapy</t>
  </si>
  <si>
    <t>b9547b1c-7570-4fa5-a943-c3b1ea66387b</t>
  </si>
  <si>
    <t>Russell Branch</t>
  </si>
  <si>
    <t>18fd7f63-5dd0-40a4-8c38-db0d1c8e62e8</t>
  </si>
  <si>
    <t>Kelly Skinner</t>
  </si>
  <si>
    <t>14d662e1-a9c5-49e7-8b6f-e701d7de0b0b</t>
  </si>
  <si>
    <t>Mary Moore</t>
  </si>
  <si>
    <t>b60511f9-c9c0-4fe3-889e-0634f3d3cea2</t>
  </si>
  <si>
    <t>Jonathan Martinez</t>
  </si>
  <si>
    <t>3d0a7160-dca4-4ea0-af94-4cd3f6092524</t>
  </si>
  <si>
    <t>John Mclaughlin</t>
  </si>
  <si>
    <t>32ed6be2-2358-41a7-a5ff-026bb7b9fe89</t>
  </si>
  <si>
    <t>Tammy Garcia</t>
  </si>
  <si>
    <t>b0e48be1-5af1-4abe-a648-91517ad5198c</t>
  </si>
  <si>
    <t>Tiffany Davis</t>
  </si>
  <si>
    <t>Prescribed medication to manage blood pressure and protect kidneys.</t>
  </si>
  <si>
    <t>685de05b-cd1d-482e-b347-ec21367ac2e1</t>
  </si>
  <si>
    <t>James Jackson</t>
  </si>
  <si>
    <t>e8c5956b-3b60-4940-bccf-e8f196a4e8d3</t>
  </si>
  <si>
    <t>Robin Jones</t>
  </si>
  <si>
    <t>fd42bedd-6b2b-4dd2-b657-0cf95ae5c315</t>
  </si>
  <si>
    <t>Michael Wilson</t>
  </si>
  <si>
    <t>Patient tested positive for COVID-19; started on antiviral drugs.</t>
  </si>
  <si>
    <t>ee18154d-7ba8-4b82-a554-44edd0f83523</t>
  </si>
  <si>
    <t>Joshua Bates</t>
  </si>
  <si>
    <t>b7f28f03-bcf6-4fe2-8826-8f63c18bc1d9</t>
  </si>
  <si>
    <t>Martin Rhodes</t>
  </si>
  <si>
    <t>3d970980-b414-45e1-87c5-78a69351b4c0</t>
  </si>
  <si>
    <t>Deborah Holmes</t>
  </si>
  <si>
    <t>77ed7075-2c89-4ab2-b9f7-027f1c70d173</t>
  </si>
  <si>
    <t>Stephanie Brown</t>
  </si>
  <si>
    <t>af59b9ab-370b-4df4-8a06-d589d27507f8</t>
  </si>
  <si>
    <t>Jacqueline Guzman</t>
  </si>
  <si>
    <t>bb2af2c6-fec4-4d5c-99ae-c747f419d6ca</t>
  </si>
  <si>
    <t>Sharon Williams</t>
  </si>
  <si>
    <t>417c73a0-0f95-46b4-a0cd-dbf48079eb1b</t>
  </si>
  <si>
    <t>John Smith MD</t>
  </si>
  <si>
    <t>c08f3cb5-1243-4d76-a419-4ab58b81bd99</t>
  </si>
  <si>
    <t>Isaiah Jackson</t>
  </si>
  <si>
    <t>d89c04a9-4b85-4ea8-a96a-0ef8efda6b1b</t>
  </si>
  <si>
    <t>Michael White</t>
  </si>
  <si>
    <t>7835e1c6-1aa1-4632-95b2-da4bb0e55a0f</t>
  </si>
  <si>
    <t>Nancy Cherry</t>
  </si>
  <si>
    <t>0261d7a4-2815-4bb4-92c2-76149966664c</t>
  </si>
  <si>
    <t>Brian Kaufman</t>
  </si>
  <si>
    <t>40063c47-1a5f-4a60-97e7-e15152015830</t>
  </si>
  <si>
    <t>Julie Russell</t>
  </si>
  <si>
    <t>d94f8b03-d1c4-49f5-8480-e71ce85b33ce</t>
  </si>
  <si>
    <t>Roy Cook</t>
  </si>
  <si>
    <t>e1f4442e-2f13-4cc7-9c3a-5f34596503e1</t>
  </si>
  <si>
    <t>Levi Todd</t>
  </si>
  <si>
    <t>7606f1ac-24e0-4d6b-95e1-27252e1344ed</t>
  </si>
  <si>
    <t>Angelica Gomez</t>
  </si>
  <si>
    <t>902496fd-df73-497f-8c86-84d3f342d3fc</t>
  </si>
  <si>
    <t>Robert Harris</t>
  </si>
  <si>
    <t>0672e31b-2394-490d-8d12-efd38a8078ca</t>
  </si>
  <si>
    <t>Katherine Lara</t>
  </si>
  <si>
    <t>623da97a-e775-41d9-b59d-2b4092194e13</t>
  </si>
  <si>
    <t>Benjamin Harvey</t>
  </si>
  <si>
    <t>031ac3d0-9f41-4ed1-90be-939ac368dd6c</t>
  </si>
  <si>
    <t>Kenneth Smith</t>
  </si>
  <si>
    <t>ce245ab8-b106-4151-96a9-5a6475eb9803</t>
  </si>
  <si>
    <t>Michael Stone</t>
  </si>
  <si>
    <t>f41f54ce-33a2-4946-87b5-9224084cdce1</t>
  </si>
  <si>
    <t>Bernard Ramirez</t>
  </si>
  <si>
    <t>b241557b-5b8d-4bbd-a652-c0354b18e897</t>
  </si>
  <si>
    <t>Randy Smith</t>
  </si>
  <si>
    <t>caca9386-f07d-4202-a6ea-227259881bf9</t>
  </si>
  <si>
    <t>Carlos Mills</t>
  </si>
  <si>
    <t>f766a4fd-63af-4536-b44f-1aa42c8b097f</t>
  </si>
  <si>
    <t>Jill Walker</t>
  </si>
  <si>
    <t>01b54189-24a2-45bc-938e-ff761db99f51</t>
  </si>
  <si>
    <t>Alexa Smith</t>
  </si>
  <si>
    <t>3cccf679-d750-4180-8290-4f9f51c880aa</t>
  </si>
  <si>
    <t>Caleb Bass</t>
  </si>
  <si>
    <t>8b5e71eb-073b-4a12-a6a8-e33d1f1c5a79</t>
  </si>
  <si>
    <t>Dustin Knapp</t>
  </si>
  <si>
    <t>488d54a2-b5b3-4b7a-b8fe-f82d6027bc9b</t>
  </si>
  <si>
    <t>Jessica Watson</t>
  </si>
  <si>
    <t>aea40c02-1761-4da2-bd2f-0ecf0ef35a19</t>
  </si>
  <si>
    <t>Angela Hayes</t>
  </si>
  <si>
    <t>c27d596e-556b-42a8-b171-af7bff2de17e</t>
  </si>
  <si>
    <t>Charles Shaffer</t>
  </si>
  <si>
    <t>2ab7cbb6-b1f5-44a9-82c6-2438aa776c46</t>
  </si>
  <si>
    <t>Lisa Thomas</t>
  </si>
  <si>
    <t>f7985985-78bb-4d9d-b6b7-6b7d0b6eb6bf</t>
  </si>
  <si>
    <t>David Gray</t>
  </si>
  <si>
    <t>aa54f7d9-8fa5-43f4-8e03-c2b97a3fabf6</t>
  </si>
  <si>
    <t>Hector Brown</t>
  </si>
  <si>
    <t>72820f80-3c80-4b31-a92d-86bd19f50f79</t>
  </si>
  <si>
    <t>Miss Lisa Bradley</t>
  </si>
  <si>
    <t>fe925f9a-b40b-4eb1-83f6-d2e5bf0435f8</t>
  </si>
  <si>
    <t>Stephen Lynch</t>
  </si>
  <si>
    <t>f21605b3-7d6d-43d3-b6a3-66c897e609e7</t>
  </si>
  <si>
    <t>Katherine Davis</t>
  </si>
  <si>
    <t>Stroke</t>
  </si>
  <si>
    <t>Physical Therapy</t>
  </si>
  <si>
    <t>Monitored for signs of stroke recurrence.</t>
  </si>
  <si>
    <t>40d72816-051b-4400-a5e9-5e4d388c0d32</t>
  </si>
  <si>
    <t>Eric Spence</t>
  </si>
  <si>
    <t>Speech Therapy</t>
  </si>
  <si>
    <t>b269d4a8-2cd6-4401-9d04-5ccdd4331800</t>
  </si>
  <si>
    <t>Sara Grimes</t>
  </si>
  <si>
    <t>9fd710c1-8ad1-48df-ae35-ff8c9204f3ed</t>
  </si>
  <si>
    <t>Kyle Carrillo</t>
  </si>
  <si>
    <t>Speech therapy initiated to address language difficulties.</t>
  </si>
  <si>
    <t>1cf912cc-aa49-40bf-b175-4bd9da15eae1</t>
  </si>
  <si>
    <t>Daniel Moreno</t>
  </si>
  <si>
    <t>daa5035e-feff-4356-bbc5-c0449e738a44</t>
  </si>
  <si>
    <t>Katherine Fletcher</t>
  </si>
  <si>
    <t>9d7cb10a-ab4b-4c5c-8c06-064188aeaa06</t>
  </si>
  <si>
    <t>Michael Wilson Jr.</t>
  </si>
  <si>
    <t>8e5bdc26-1dd5-4b3c-bf3d-4ae63aea00ca</t>
  </si>
  <si>
    <t>Belinda Mclean</t>
  </si>
  <si>
    <t>feeea5a0-0b38-450f-a9dd-e01d3e553913</t>
  </si>
  <si>
    <t>Mercedes Webb</t>
  </si>
  <si>
    <t>617868cf-210c-4d3c-9312-3fcfd73420e7</t>
  </si>
  <si>
    <t>Patricia Marquez</t>
  </si>
  <si>
    <t>88f7733a-65e8-4e84-9d67-236887d34509</t>
  </si>
  <si>
    <t>Evan Long</t>
  </si>
  <si>
    <t>533abcc0-c869-4726-bcc9-ac40809b1927</t>
  </si>
  <si>
    <t>Terri Dunn</t>
  </si>
  <si>
    <t>993cf382-683a-4543-b48a-9720fea0d2d0</t>
  </si>
  <si>
    <t>Jose Day</t>
  </si>
  <si>
    <t>e21b714d-b96f-47ca-868f-847dbbebaeab</t>
  </si>
  <si>
    <t>James Brown</t>
  </si>
  <si>
    <t>721e3ac9-ec0d-4d03-b812-c3aabf1a8f41</t>
  </si>
  <si>
    <t>John Mcmahon</t>
  </si>
  <si>
    <t>720c5845-0d95-444f-b979-5b41de947706</t>
  </si>
  <si>
    <t>Abigail Gonzalez</t>
  </si>
  <si>
    <t>152e49ba-868b-493c-aa14-2097ff97b0c4</t>
  </si>
  <si>
    <t>Daniel Carr</t>
  </si>
  <si>
    <t>c7949473-5224-4575-a4db-3c961c51ec33</t>
  </si>
  <si>
    <t>Mr. Steven Green</t>
  </si>
  <si>
    <t>a06be831-a709-4ab9-a9d6-55a626cb8cee</t>
  </si>
  <si>
    <t>Marcus Padilla</t>
  </si>
  <si>
    <t>6e9ae84f-997f-46b3-88d9-1c2b5aa627b7</t>
  </si>
  <si>
    <t>Julie Taylor</t>
  </si>
  <si>
    <t>8e11e344-c5e2-4779-afb2-8383f29abbde</t>
  </si>
  <si>
    <t>Cynthia Miller</t>
  </si>
  <si>
    <t>4c970c93-185f-4e5e-97ae-9b082be51599</t>
  </si>
  <si>
    <t>Chelsea Dennis</t>
  </si>
  <si>
    <t>ee49e113-1e2e-48c1-84de-d77de58d0f5b</t>
  </si>
  <si>
    <t>Norman Goodwin</t>
  </si>
  <si>
    <t>ad24a2a2-1e30-476a-9a06-dd670cf6add8</t>
  </si>
  <si>
    <t>Marissa White</t>
  </si>
  <si>
    <t>55965212-ce87-4eb3-89a3-530724238c0c</t>
  </si>
  <si>
    <t>Jessica Nelson</t>
  </si>
  <si>
    <t>1bdd3673-4986-49cd-85ca-55d1af316c6f</t>
  </si>
  <si>
    <t>Keith Morris</t>
  </si>
  <si>
    <t>Referred to physical therapy for mobility improvement.</t>
  </si>
  <si>
    <t>beec3bc7-e94e-4e5b-9e07-53b3233192b1</t>
  </si>
  <si>
    <t>Timothy Castaneda</t>
  </si>
  <si>
    <t>66c6f7f1-69f7-44e3-bf75-1699083536f6</t>
  </si>
  <si>
    <t>Christopher Haynes</t>
  </si>
  <si>
    <t>72c39ae3-6566-4514-a55f-7dc87e69aea4</t>
  </si>
  <si>
    <t>Joseph Johnson</t>
  </si>
  <si>
    <t>6b8e32e7-489d-4644-8bb9-4f779ab2a6e4</t>
  </si>
  <si>
    <t>Justin Marshall</t>
  </si>
  <si>
    <t>ae6b13ac-3354-440e-8d27-b4b979ecd4a9</t>
  </si>
  <si>
    <t>Laura Green</t>
  </si>
  <si>
    <t>f182af7c-bb4b-42ea-848b-a6011e7ec360</t>
  </si>
  <si>
    <t>Vickie Garza</t>
  </si>
  <si>
    <t>95ae272a-fffb-47ec-842a-7929eb826e7b</t>
  </si>
  <si>
    <t>Stephanie Castillo</t>
  </si>
  <si>
    <t>b88a75a7-4338-440e-a156-28dbd53d41b6</t>
  </si>
  <si>
    <t>Gwendolyn Faulkner</t>
  </si>
  <si>
    <t>8c7bf0ae-37b4-4c5a-9d53-3aa540ed5c7f</t>
  </si>
  <si>
    <t>Mark Peters</t>
  </si>
  <si>
    <t>9f9eaf7b-974e-44ee-a1c5-808833e10c83</t>
  </si>
  <si>
    <t>Amber Roberts</t>
  </si>
  <si>
    <t>23fd7752-4f1b-48c9-8b46-9001d12c5d4d</t>
  </si>
  <si>
    <t>Darin Smith</t>
  </si>
  <si>
    <t>b1858df0-2a08-4f0b-96a6-295d695f1507</t>
  </si>
  <si>
    <t>Michelle Stewart</t>
  </si>
  <si>
    <t>70c14715-9271-4417-b6fd-0c88c74e3c91</t>
  </si>
  <si>
    <t>Laura Lambert</t>
  </si>
  <si>
    <t>581d5cf6-914b-4af2-a0bc-561c65e335c4</t>
  </si>
  <si>
    <t>Jessica Rivera</t>
  </si>
  <si>
    <t>Disease-modifying therapy initiated.</t>
  </si>
  <si>
    <t>5b05cf46-21b7-4143-bd56-358c231ccdc7</t>
  </si>
  <si>
    <t>Warren Ball</t>
  </si>
  <si>
    <t>31be8874-804f-4336-9574-67c4af86f3cc</t>
  </si>
  <si>
    <t>Jessica Walter</t>
  </si>
  <si>
    <t>5a7aae88-0fc9-4842-a496-e8d5b13536e2</t>
  </si>
  <si>
    <t>Mary Williams</t>
  </si>
  <si>
    <t>Referred to cognitive behavioral therapy to improve memory and thinking skills.</t>
  </si>
  <si>
    <t>6a64e052-3443-4afb-a8e0-6057da3eaac9</t>
  </si>
  <si>
    <t>Briana Taylor</t>
  </si>
  <si>
    <t>898f148b-2bf5-4797-b492-f7a12d25606a</t>
  </si>
  <si>
    <t>Marcia Ruiz</t>
  </si>
  <si>
    <t>Cognitive Behavioral Therapy</t>
  </si>
  <si>
    <t>8e82ce56-706c-4dd0-9684-4aa9ae17fcab</t>
  </si>
  <si>
    <t>Amber Gomez</t>
  </si>
  <si>
    <t>Referred to pulmonary rehabilitation program.</t>
  </si>
  <si>
    <t>16c65ac7-853c-43d6-952f-3afdf3ffb498</t>
  </si>
  <si>
    <t>Kayla Lamb</t>
  </si>
  <si>
    <t>e2f40dd9-0f8f-4d8a-ae63-e3560488e3df</t>
  </si>
  <si>
    <t>Raymond Blake</t>
  </si>
  <si>
    <t>Pneumonia</t>
  </si>
  <si>
    <t>Antibiotics</t>
  </si>
  <si>
    <t>Monitor for any signs of respiratory distress.</t>
  </si>
  <si>
    <t>21ddf72a-c856-4bd4-8641-473eee260ec4</t>
  </si>
  <si>
    <t>Melissa Thompson</t>
  </si>
  <si>
    <t>Discussed with family about disease progression and care options.</t>
  </si>
  <si>
    <t>0ef5b241-0b9a-4dd9-9ba3-bbcea9450d1c</t>
  </si>
  <si>
    <t>Jo Palmer</t>
  </si>
  <si>
    <t>Patient requires home oxygen therapy.</t>
  </si>
  <si>
    <t>20db6926-d280-416a-98c3-0920cbd50872</t>
  </si>
  <si>
    <t>Kristen Carter</t>
  </si>
  <si>
    <t>Prescribed long-term bronchodilators.</t>
  </si>
  <si>
    <t>ee6f3d29-4110-4562-a8e3-965f0380259e</t>
  </si>
  <si>
    <t>Bryan Green</t>
  </si>
  <si>
    <t>Discussed strategies to manage fatigue and other symptoms.</t>
  </si>
  <si>
    <t>bcbdebb8-a1b6-418b-8310-e38e1df14f27</t>
  </si>
  <si>
    <t>Elizabeth Pham</t>
  </si>
  <si>
    <t>Started on broad-spectrum antibiotics.</t>
  </si>
  <si>
    <t>a5e3eac5-03a7-436a-aa16-eb0ad1b6d12b</t>
  </si>
  <si>
    <t>Tiffany Hart</t>
  </si>
  <si>
    <t>bd377942-7b98-4bf3-834c-4ad673b87bff</t>
  </si>
  <si>
    <t>Isaiah Thompson</t>
  </si>
  <si>
    <t>d682f5ac-bac7-4f40-95ef-f75e70fccc48</t>
  </si>
  <si>
    <t>Bridget Garcia</t>
  </si>
  <si>
    <t>f880237d-83c7-46a0-9ea3-b4f4a20679ff</t>
  </si>
  <si>
    <t>David Anderson</t>
  </si>
  <si>
    <t>5b680171-99fd-45ba-9115-440f96487a8a</t>
  </si>
  <si>
    <t>Dillon Pierce</t>
  </si>
  <si>
    <t>a9aa5d30-0aa0-413a-9a3b-bfa099ea18ae</t>
  </si>
  <si>
    <t>Adam Coleman</t>
  </si>
  <si>
    <t>Discussed potential for deep brain stimulation surgery.</t>
  </si>
  <si>
    <t>9b3a6e21-8838-49f4-b952-fcaf01428c62</t>
  </si>
  <si>
    <t>Brian Ortega</t>
  </si>
  <si>
    <t>68a3584b-670d-482d-9058-9510dab111fc</t>
  </si>
  <si>
    <t>Thomas Simpson</t>
  </si>
  <si>
    <t>a7e6b95c-7ef1-41ce-b15e-65bb307e4406</t>
  </si>
  <si>
    <t>Ralph Ball</t>
  </si>
  <si>
    <t>6a6b81a5-d17f-4989-84cc-292fbc16a146</t>
  </si>
  <si>
    <t>William Travis</t>
  </si>
  <si>
    <t>b8daad85-64a2-495a-98a8-33977b3cde50</t>
  </si>
  <si>
    <t>William Richardson</t>
  </si>
  <si>
    <t>86d45a91-47d5-41a7-9ce7-c6e343b671ea</t>
  </si>
  <si>
    <t>David Lyons</t>
  </si>
  <si>
    <t>26b663f5-7ea9-411f-ab22-30f8afbe51db</t>
  </si>
  <si>
    <t>Yvette Chavez</t>
  </si>
  <si>
    <t>673fe081-0bb8-41be-a5f9-1833a92152c7</t>
  </si>
  <si>
    <t>Olivia Allen</t>
  </si>
  <si>
    <t>2b48635a-eda9-4cdd-9f47-2481a075fa38</t>
  </si>
  <si>
    <t>Robert Johnson</t>
  </si>
  <si>
    <t>1caba3b2-99c5-4c2c-8814-dfd639f5ebb2</t>
  </si>
  <si>
    <t>Dr. William French</t>
  </si>
  <si>
    <t>ea5b1203-abbe-4647-9c45-449eb2fc87d8</t>
  </si>
  <si>
    <t>Jessica Meadows</t>
  </si>
  <si>
    <t>0a040562-c2d3-4a62-add4-4b94c2b8f65d</t>
  </si>
  <si>
    <t>Michelle Gallagher</t>
  </si>
  <si>
    <t>40e2d0c9-ed07-40e8-954d-d70a98fda0e5</t>
  </si>
  <si>
    <t>William Wright</t>
  </si>
  <si>
    <t>9c5d6a72-17f2-4442-9b5d-4117347497d9</t>
  </si>
  <si>
    <t>Maria Johnson</t>
  </si>
  <si>
    <t>8ab5c984-076e-4adf-99e7-365d77624c3b</t>
  </si>
  <si>
    <t>Timothy Hunter</t>
  </si>
  <si>
    <t>0c73110d-88e5-44de-a6b6-fededb62c8db</t>
  </si>
  <si>
    <t>Abigail Molina</t>
  </si>
  <si>
    <t>Started on medication to slow progression of symptoms.</t>
  </si>
  <si>
    <t>592c8a9a-16ad-435a-9514-9fac5d147903</t>
  </si>
  <si>
    <t>Tara Boyd</t>
  </si>
  <si>
    <t>38dc8895-3c35-4a2d-9edb-10b581b1a6f7</t>
  </si>
  <si>
    <t>Christopher Bailey</t>
  </si>
  <si>
    <t>2e55c526-6a1b-40ce-ac50-05802e6798df</t>
  </si>
  <si>
    <t>Steven Sharp</t>
  </si>
  <si>
    <t>5c9eda55-555f-4282-86c1-957f86470d1b</t>
  </si>
  <si>
    <t>Michelle Patel</t>
  </si>
  <si>
    <t>680aba02-33a2-471c-923d-f9a2ff44f0eb</t>
  </si>
  <si>
    <t>Brett Hernandez</t>
  </si>
  <si>
    <t>b1ae3336-0f2d-4e27-9539-962babf22f9d</t>
  </si>
  <si>
    <t>Steven Smith II</t>
  </si>
  <si>
    <t>3170ebc4-ffb9-4902-86c4-75d50f543343</t>
  </si>
  <si>
    <t>Richard Le</t>
  </si>
  <si>
    <t>c754c929-71f4-47f2-b8fa-741ee84a4829</t>
  </si>
  <si>
    <t>Mark Phillips</t>
  </si>
  <si>
    <t>639befc7-84ac-46bd-af5b-a569ea207f96</t>
  </si>
  <si>
    <t>Dillon Clark</t>
  </si>
  <si>
    <t>63274d00-7eaf-448d-b4cc-a10418e58ac4</t>
  </si>
  <si>
    <t>Andrew Le</t>
  </si>
  <si>
    <t>15fc414c-dbb4-40db-9b37-8dcd8b35b964</t>
  </si>
  <si>
    <t>Teresa Williams</t>
  </si>
  <si>
    <t>Initiated dopaminergic medication for symptom control.</t>
  </si>
  <si>
    <t>15261af4-db23-4acd-af61-995d280ee4c5</t>
  </si>
  <si>
    <t>Traci Fuller</t>
  </si>
  <si>
    <t>d57d4fc3-8b86-42b2-9098-c40cdd802b40</t>
  </si>
  <si>
    <t>Tara Mooney</t>
  </si>
  <si>
    <t>Hospitalization</t>
  </si>
  <si>
    <t>566af25d-dc49-472f-8728-c5eda762b23f</t>
  </si>
  <si>
    <t>Jacob Spencer</t>
  </si>
  <si>
    <t>9ad54d16-de54-4186-b62c-bdce1f894d50</t>
  </si>
  <si>
    <t>Timothy Little</t>
  </si>
  <si>
    <t>ab73588a-a9e5-4c29-8595-ddd71dbafc71</t>
  </si>
  <si>
    <t>Jennifer Rios</t>
  </si>
  <si>
    <t>e6f6de37-cc6f-41f5-9e43-601b69a5f6d1</t>
  </si>
  <si>
    <t>April Clark</t>
  </si>
  <si>
    <t>c50a5c30-2b2e-4b30-a797-5dbcb6a4206d</t>
  </si>
  <si>
    <t>Tricia Williams</t>
  </si>
  <si>
    <t>5a8a3c91-b6b3-4b63-9e95-05cd08687a95</t>
  </si>
  <si>
    <t>Pamela Bailey</t>
  </si>
  <si>
    <t>f5469f2e-014d-4bb0-b4ed-41033682d87e</t>
  </si>
  <si>
    <t>Adriana Johnson</t>
  </si>
  <si>
    <t>ebd79a05-d602-4c53-848e-3e5de055de34</t>
  </si>
  <si>
    <t>Anthony Brown</t>
  </si>
  <si>
    <t>3274a803-88f6-46dd-9906-fae3b63366c8</t>
  </si>
  <si>
    <t>Laura Gray</t>
  </si>
  <si>
    <t>3bbc35ca-ad8b-41e3-9bce-baf6751e3456</t>
  </si>
  <si>
    <t>Craig Wells</t>
  </si>
  <si>
    <t>17459f1b-9182-40d6-a527-10e4cf7c3f8a</t>
  </si>
  <si>
    <t>Madison Anderson</t>
  </si>
  <si>
    <t>1256e26c-562f-4a1d-a9a3-57e6e2d037bc</t>
  </si>
  <si>
    <t>Robert Ramos</t>
  </si>
  <si>
    <t>Hospitalized for closer monitoring and oxygen therapy.</t>
  </si>
  <si>
    <t>1ee3057e-f1a7-4657-844b-a07e63ffdf74</t>
  </si>
  <si>
    <t>Roger Cardenas</t>
  </si>
  <si>
    <t>1476734d-1b07-4f8b-a48d-9c9ca8a26dd3</t>
  </si>
  <si>
    <t>Catherine Arellano</t>
  </si>
  <si>
    <t>bf502320-6cfd-4130-814f-e9f94b305e5e</t>
  </si>
  <si>
    <t>Stephanie Arellano</t>
  </si>
  <si>
    <t>42c2f799-1c8b-4006-b654-2654dd10602f</t>
  </si>
  <si>
    <t>Trevor Johnson</t>
  </si>
  <si>
    <t>06b38d1c-ba1e-4cec-9c61-44bc42b57ab8</t>
  </si>
  <si>
    <t>Joel Shaw</t>
  </si>
  <si>
    <t>28dcac79-0a71-40c7-9be4-ffe653c8bae4</t>
  </si>
  <si>
    <t>Cory Sandoval</t>
  </si>
  <si>
    <t>12b06dee-a270-4b9f-8974-459fd60ba4ef</t>
  </si>
  <si>
    <t>Katelyn Johnston</t>
  </si>
  <si>
    <t>043a33b6-3311-4d78-838e-0aaa2b588059</t>
  </si>
  <si>
    <t>Veronica Moore</t>
  </si>
  <si>
    <t>Referred to physical therapy to maintain muscle strength.</t>
  </si>
  <si>
    <t>0ef71978-c2b6-4bdf-8087-d44fec088443</t>
  </si>
  <si>
    <t>Stephen Richardson</t>
  </si>
  <si>
    <t>4cd832bd-791b-426d-9501-15520a750e51</t>
  </si>
  <si>
    <t>Alicia Kelly</t>
  </si>
  <si>
    <t>b1e3fe8e-d947-4dc0-ad4c-8bcc34cd0169</t>
  </si>
  <si>
    <t>Kathleen Cohen</t>
  </si>
  <si>
    <t>07b46259-07fb-4c62-bbc4-683f5356a5e6</t>
  </si>
  <si>
    <t>Michael Perry</t>
  </si>
  <si>
    <t>df2b7cfb-de0c-4279-bee0-57a3726f7ea0</t>
  </si>
  <si>
    <t>Karen Dougherty</t>
  </si>
  <si>
    <t>baadc7b3-7058-46a3-a6f0-2aec382ab480</t>
  </si>
  <si>
    <t>Lisa Mills</t>
  </si>
  <si>
    <t>cc3450f4-8fe7-4728-9ea1-c291ea879fe5</t>
  </si>
  <si>
    <t>Sabrina Schwartz</t>
  </si>
  <si>
    <t>8da27ad5-ea01-44a0-89c9-0058ede8dbdc</t>
  </si>
  <si>
    <t>Timothy White</t>
  </si>
  <si>
    <t>ab01271a-7eaf-4abc-b58f-199b672126e4</t>
  </si>
  <si>
    <t>Maurice Allen</t>
  </si>
  <si>
    <t>525298e9-90b0-40e9-9175-7d873d7c18e3</t>
  </si>
  <si>
    <t>Virginia Shields</t>
  </si>
  <si>
    <t>6b7c13b6-9eed-432b-b7cb-6d417641fbd7</t>
  </si>
  <si>
    <t>Lori Shaw</t>
  </si>
  <si>
    <t>537ec85d-550e-403d-b5ed-9438eb636ff4</t>
  </si>
  <si>
    <t>Austin Nguyen</t>
  </si>
  <si>
    <t>be700cbe-caa1-4037-902d-02790b26e671</t>
  </si>
  <si>
    <t>Carol Rodriguez</t>
  </si>
  <si>
    <t>13102410-5707-42a9-9bb8-36d5da80dcb0</t>
  </si>
  <si>
    <t>Cynthia Thompson</t>
  </si>
  <si>
    <t>1aa907bb-fe69-4fb7-ba78-d544a4c74115</t>
  </si>
  <si>
    <t>Matthew Graham</t>
  </si>
  <si>
    <t>26262751-90f7-4406-ac58-a1c2cb464feb</t>
  </si>
  <si>
    <t>Kari Williams</t>
  </si>
  <si>
    <t>dbb85205-367a-4c29-9e71-b392174f5ab0</t>
  </si>
  <si>
    <t>David Wallace</t>
  </si>
  <si>
    <t>d921c7ba-d915-48bc-a5bc-9a517d79f5d8</t>
  </si>
  <si>
    <t>Matthew Dawson</t>
  </si>
  <si>
    <t>761a6a7f-acf6-4f0f-b825-887b9451ac1e</t>
  </si>
  <si>
    <t>Rebecca Miller</t>
  </si>
  <si>
    <t>fe1e0bc3-6099-4913-90b2-e9cd77ecc6b2</t>
  </si>
  <si>
    <t>Nicholas Bradley</t>
  </si>
  <si>
    <t>40fac969-94d3-494c-927c-eb57b5f4fdd9</t>
  </si>
  <si>
    <t>Courtney Ramos MD</t>
  </si>
  <si>
    <t>921d93d1-17b8-426f-abae-5b16c7e5cd93</t>
  </si>
  <si>
    <t>Debra Griffith</t>
  </si>
  <si>
    <t>f77b95bb-6778-41c8-9661-19ab0465e954</t>
  </si>
  <si>
    <t>Gregory Fisher</t>
  </si>
  <si>
    <t>d23b1634-0a96-48a2-9dd4-76367915fc04</t>
  </si>
  <si>
    <t>Kevin Holland</t>
  </si>
  <si>
    <t>Referred to physical therapy to improve mobility and balance.</t>
  </si>
  <si>
    <t>1ac81732-7afc-4e50-b20c-d95b623dd905</t>
  </si>
  <si>
    <t>Stacy Lucero</t>
  </si>
  <si>
    <t>c234750e-f95b-488e-b39c-091ce938db2b</t>
  </si>
  <si>
    <t>Rodney Brooks</t>
  </si>
  <si>
    <t>Epilepsy</t>
  </si>
  <si>
    <t>Antiepileptic medication prescribed; monitor for side effects.</t>
  </si>
  <si>
    <t>053cfbb4-e309-48f3-8147-ee2f9e70b621</t>
  </si>
  <si>
    <t>Christina Maldonado</t>
  </si>
  <si>
    <t>23a6d5eb-fff6-406e-b960-64103e7038f0</t>
  </si>
  <si>
    <t>Patricia Fox</t>
  </si>
  <si>
    <t>6d0d487f-0dc0-4c11-86d4-ce002b802f75</t>
  </si>
  <si>
    <t>Brandon Sherman</t>
  </si>
  <si>
    <t>4707fb20-7093-4344-a934-05123dbc8ffb</t>
  </si>
  <si>
    <t>Zachary Fritz</t>
  </si>
  <si>
    <t>318822d0-4a2d-4ae1-bfa3-7eb137c510ef</t>
  </si>
  <si>
    <t>Joshua Hayes</t>
  </si>
  <si>
    <t>7a83ada5-c565-4bb0-a7c8-07ed22fc8c16</t>
  </si>
  <si>
    <t>Susan Reyes</t>
  </si>
  <si>
    <t>Advised to maintain a seizure diary.</t>
  </si>
  <si>
    <t>d8866069-e3b1-40fd-99d4-41ed8c922ee4</t>
  </si>
  <si>
    <t>Melody Robertson</t>
  </si>
  <si>
    <t>128f4021-6e67-494a-9170-4674b452a7c2</t>
  </si>
  <si>
    <t>Raymond Mcintosh</t>
  </si>
  <si>
    <t>79503efc-99e6-4b95-a036-f8d5c0fc263e</t>
  </si>
  <si>
    <t>Ryan Tanner</t>
  </si>
  <si>
    <t>2f090e2b-f249-4fc6-9a16-ec73eb1be554</t>
  </si>
  <si>
    <t>Rachel Hill</t>
  </si>
  <si>
    <t>2754c99a-e956-406e-b924-2c7e889bbd49</t>
  </si>
  <si>
    <t>Corey Davies</t>
  </si>
  <si>
    <t>Discussed surgical options for refractory epilepsy.</t>
  </si>
  <si>
    <t>7f425133-f186-41a8-952e-84ed9f6b84cc</t>
  </si>
  <si>
    <t>Emily Velasquez</t>
  </si>
  <si>
    <t>6d8f9366-8f2d-4b07-9f81-c2b68a84cd40</t>
  </si>
  <si>
    <t>Alan Lloyd</t>
  </si>
  <si>
    <t>4f55ed91-0725-4498-b6ce-7e089a77e2b5</t>
  </si>
  <si>
    <t>Ryan Evans</t>
  </si>
  <si>
    <t>683a5df1-c8cf-4533-9ce0-05f5bfb2c10b</t>
  </si>
  <si>
    <t>Stephanie Hart</t>
  </si>
  <si>
    <t>8bb287ea-11c4-4af4-b721-479ea04de465</t>
  </si>
  <si>
    <t>Kelly Henry</t>
  </si>
  <si>
    <t>8d00fed0-b25c-4f9e-96ac-d14a402a18d2</t>
  </si>
  <si>
    <t>Dylan Johnson</t>
  </si>
  <si>
    <t>2af6a789-36bd-4137-9d48-ca701948e8a3</t>
  </si>
  <si>
    <t>Mary Townsend</t>
  </si>
  <si>
    <t>a9e58b7c-a054-4757-aab0-a52b6ef08f4a</t>
  </si>
  <si>
    <t>Angela Green</t>
  </si>
  <si>
    <t>e46941cc-9f86-49d8-a628-86c919d663ea</t>
  </si>
  <si>
    <t>Curtis Cox</t>
  </si>
  <si>
    <t>30e22762-b64d-43af-99b8-b0bfe232344b</t>
  </si>
  <si>
    <t>Vanessa Conway</t>
  </si>
  <si>
    <t>851c4156-8f73-470b-a8af-756dfae8cea5</t>
  </si>
  <si>
    <t>Kelly Miller</t>
  </si>
  <si>
    <t>98b75bd7-1a3a-4a8d-8527-1db1f78c2128</t>
  </si>
  <si>
    <t>Jennifer Leonard</t>
  </si>
  <si>
    <t>85069869-eaa9-44c5-9265-aae4f7aa7f67</t>
  </si>
  <si>
    <t>Caitlyn Fuentes</t>
  </si>
  <si>
    <t>c0d40d89-c7ef-488b-82be-734537a1b559</t>
  </si>
  <si>
    <t>Jonathan Parker</t>
  </si>
  <si>
    <t>484119a8-66ca-499c-ad0e-61937fe083b5</t>
  </si>
  <si>
    <t>Shirley May</t>
  </si>
  <si>
    <t>fdf2f192-7b2a-4982-b4e7-347dfd249217</t>
  </si>
  <si>
    <t>Kyle Smith</t>
  </si>
  <si>
    <t>677a842e-af96-4148-887a-28f841ec65e5</t>
  </si>
  <si>
    <t>Ellen Burgess</t>
  </si>
  <si>
    <t>09ade64b-6dfe-4d39-b754-28fddc0b9c3f</t>
  </si>
  <si>
    <t>Joseph Carr</t>
  </si>
  <si>
    <t>1b154448-f708-4575-8f4b-20749fb898fe</t>
  </si>
  <si>
    <t>Caroline Miller</t>
  </si>
  <si>
    <t>9e993de3-7708-4437-8f84-0a671de0dc8b</t>
  </si>
  <si>
    <t>Christopher Davis</t>
  </si>
  <si>
    <t>75cdc78e-03fa-4296-9b3e-ddbe7f482f1c</t>
  </si>
  <si>
    <t>Renee Lamb</t>
  </si>
  <si>
    <t>728dbf3a-de8b-4bfe-a6b7-a529d7a54357</t>
  </si>
  <si>
    <t>Daniel Jackson</t>
  </si>
  <si>
    <t>118eb36c-2873-47fc-b062-730265232835</t>
  </si>
  <si>
    <t>William Smith</t>
  </si>
  <si>
    <t>2534da89-ee4a-41dc-8455-dfbef1533885</t>
  </si>
  <si>
    <t>Michael Brown</t>
  </si>
  <si>
    <t>06cc725d-e3ff-4c6b-84e7-90480fec8867</t>
  </si>
  <si>
    <t>Alicia Schaefer</t>
  </si>
  <si>
    <t>8c3052c8-a268-4a19-94a8-d3f2d3e19018</t>
  </si>
  <si>
    <t>Megan Coffey</t>
  </si>
  <si>
    <t>85078e9b-7c20-45a2-9b30-33b233b23de3</t>
  </si>
  <si>
    <t>Jamie Aguilar</t>
  </si>
  <si>
    <t>42af7e0c-b553-4fe0-9b05-bcf90eec17fc</t>
  </si>
  <si>
    <t>Andrea Jones</t>
  </si>
  <si>
    <t>3b0b5b91-ce6b-4032-80b8-76e54a8f7c29</t>
  </si>
  <si>
    <t>John Rice</t>
  </si>
  <si>
    <t>dfb895e0-4b05-4454-897f-db12a910e510</t>
  </si>
  <si>
    <t>Cynthia Schmidt</t>
  </si>
  <si>
    <t>2d31dd76-766c-4fba-9c1c-647e3b7ab736</t>
  </si>
  <si>
    <t>Michael Barnett</t>
  </si>
  <si>
    <t>5238a1ca-f61a-4161-9733-1341d813e387</t>
  </si>
  <si>
    <t>Terry Alvarez</t>
  </si>
  <si>
    <t>ff6f1b56-6f4c-417d-a66e-bc3c4ce968af</t>
  </si>
  <si>
    <t>Albert Owens</t>
  </si>
  <si>
    <t>06386535-8ec1-4462-aa34-bf43786e1f68</t>
  </si>
  <si>
    <t>Taylor Henderson</t>
  </si>
  <si>
    <t>5636c672-cd10-4398-8f26-c5e1407689d3</t>
  </si>
  <si>
    <t>Kari Warren</t>
  </si>
  <si>
    <t>07f6873c-d62b-488b-abdd-f78083c3fdca</t>
  </si>
  <si>
    <t>Robert Phillips</t>
  </si>
  <si>
    <t>e4fad67d-f6ca-49f9-b0bd-6578a3956bcd</t>
  </si>
  <si>
    <t>Mr. Richard Garner</t>
  </si>
  <si>
    <t>4abee7b8-8d85-4b41-a9e5-98c2bd98af43</t>
  </si>
  <si>
    <t>Ryan Ray</t>
  </si>
  <si>
    <t>01b86b7d-86d4-4560-b24e-35045279297f</t>
  </si>
  <si>
    <t>George Brown</t>
  </si>
  <si>
    <t>c48a671a-b9f9-49d9-b015-65554ec7467f</t>
  </si>
  <si>
    <t>David Hill</t>
  </si>
  <si>
    <t>24abf24f-d697-4a19-ba9d-3a94a000e237</t>
  </si>
  <si>
    <t>Leslie Booth</t>
  </si>
  <si>
    <t>e8a5ead4-7807-4e49-b5ee-4d095907a50a</t>
  </si>
  <si>
    <t>Jacob Howard</t>
  </si>
  <si>
    <t>1c133714-1ca4-4bf8-9008-4b911f2b009d</t>
  </si>
  <si>
    <t>Lisa Erickson</t>
  </si>
  <si>
    <t>fc3faef7-c285-46b8-8a94-0d9a5e61d82b</t>
  </si>
  <si>
    <t>Suzanne Taylor</t>
  </si>
  <si>
    <t>468ae5f1-83b6-4ef5-8fc2-8b46a514cf17</t>
  </si>
  <si>
    <t>William Jones</t>
  </si>
  <si>
    <t>1358c045-661f-4c75-a4d3-b9f1e8b87f16</t>
  </si>
  <si>
    <t>Jacob Smith</t>
  </si>
  <si>
    <t>ed22cf65-7928-4aab-aeda-236054470ddd</t>
  </si>
  <si>
    <t>Jose Ward</t>
  </si>
  <si>
    <t>e711f177-0fa0-4ded-a05a-f66ccf8c4edf</t>
  </si>
  <si>
    <t>Bethany Martin</t>
  </si>
  <si>
    <t>90bd151e-48a4-4069-9ab4-87905e646bce</t>
  </si>
  <si>
    <t>Aaron Lang</t>
  </si>
  <si>
    <t>ebed9ca1-317d-43a2-a09e-db07578d3130</t>
  </si>
  <si>
    <t>Rachel Massey</t>
  </si>
  <si>
    <t>d5f33ab1-8223-4315-9990-dcee9fa09728</t>
  </si>
  <si>
    <t>Erin Daniels</t>
  </si>
  <si>
    <t>7d3cfbbc-d6ba-403a-bfe9-8dc7817bf59f</t>
  </si>
  <si>
    <t>Andrew Fuller</t>
  </si>
  <si>
    <t>66fb6be5-6afb-423f-ad10-e7d4199a3f26</t>
  </si>
  <si>
    <t>Mrs. Kayla Hale</t>
  </si>
  <si>
    <t>b987977d-de56-46b8-893e-afe65757bb7b</t>
  </si>
  <si>
    <t>Gloria Kemp</t>
  </si>
  <si>
    <t>ef4dd264-52cd-4acf-978e-e06d1d8aea3a</t>
  </si>
  <si>
    <t>Laura Solis</t>
  </si>
  <si>
    <t>f80465f4-0b53-4283-bc81-8b269a7388a7</t>
  </si>
  <si>
    <t>Jeremy Freeman</t>
  </si>
  <si>
    <t>9bc0b927-5f68-4449-b8ad-60fce0dfdf40</t>
  </si>
  <si>
    <t>Christina Poole</t>
  </si>
  <si>
    <t>b668726e-a948-4645-96ab-aad620d3f0c1</t>
  </si>
  <si>
    <t>Samantha Gonzalez</t>
  </si>
  <si>
    <t>1d9e1215-b536-45d2-a00d-50898e2648bd</t>
  </si>
  <si>
    <t>Tyler Edwards</t>
  </si>
  <si>
    <t>cccd1da0-2003-493e-b1f4-12c025c99f75</t>
  </si>
  <si>
    <t>Cynthia Sanchez</t>
  </si>
  <si>
    <t>cda0f0c5-9027-4100-9f8e-1e1d685ba656</t>
  </si>
  <si>
    <t>Scott Pena</t>
  </si>
  <si>
    <t>5d0122ba-ce5c-4e07-8bf0-da0c3f0a8c82</t>
  </si>
  <si>
    <t>Kyle Kline</t>
  </si>
  <si>
    <t>df42390e-d43f-453e-91fa-e9123d04804c</t>
  </si>
  <si>
    <t>Joel Harrington</t>
  </si>
  <si>
    <t>4923e716-8800-4587-88fd-e62c56ccca23</t>
  </si>
  <si>
    <t>Brian Williams</t>
  </si>
  <si>
    <t>272cc1ec-7a8d-4d7a-8aba-a3e7f09e102e</t>
  </si>
  <si>
    <t>Jennifer Chung</t>
  </si>
  <si>
    <t>fad60d02-a56a-43bf-b346-fb0c5df2b57b</t>
  </si>
  <si>
    <t>Karla Copeland</t>
  </si>
  <si>
    <t>7699f1f1-a348-4366-8b59-ca7278876f33</t>
  </si>
  <si>
    <t>Todd Mercado</t>
  </si>
  <si>
    <t>1a72ed36-cc93-4f6f-b858-c4fbcc7081fb</t>
  </si>
  <si>
    <t>Melissa Jackson</t>
  </si>
  <si>
    <t>3035b7b9-7870-4c58-ae78-b3d400af0b22</t>
  </si>
  <si>
    <t>Christine Ashley</t>
  </si>
  <si>
    <t>e3d66e27-d046-4d1a-860d-f564a590c552</t>
  </si>
  <si>
    <t>Carol Liu</t>
  </si>
  <si>
    <t>6f12ff37-716c-4bfe-877a-64d97fe3e31e</t>
  </si>
  <si>
    <t>Tara Smith</t>
  </si>
  <si>
    <t>38f046f5-a8d2-405a-bf55-96e22661f5c8</t>
  </si>
  <si>
    <t>Heather Vincent</t>
  </si>
  <si>
    <t>6d78aaa8-8763-4a15-b142-082c51945e49</t>
  </si>
  <si>
    <t>Jessica Smith</t>
  </si>
  <si>
    <t>000c203f-0b78-4cab-9a55-75b34624fb3a</t>
  </si>
  <si>
    <t>James Dyer</t>
  </si>
  <si>
    <t>1ad4ff53-14bd-43d9-9f06-551827a2f46d</t>
  </si>
  <si>
    <t>Paul Juarez DDS</t>
  </si>
  <si>
    <t>Fracture</t>
  </si>
  <si>
    <t>Casting</t>
  </si>
  <si>
    <t>Discussed surgical options for complex fracture.</t>
  </si>
  <si>
    <t>c241b0aa-48a1-463f-99ba-a8be270afff8</t>
  </si>
  <si>
    <t>Kristi Ramirez</t>
  </si>
  <si>
    <t>9b7afe33-9bb0-40e9-bef1-fc0e31d468da</t>
  </si>
  <si>
    <t>Charles Weber</t>
  </si>
  <si>
    <t>0b421877-1add-4d3e-a967-ec4c849708e9</t>
  </si>
  <si>
    <t>Maria Hickman</t>
  </si>
  <si>
    <t>Referred to physical therapy for rehabilitation.</t>
  </si>
  <si>
    <t>bccea3ec-e992-44ea-8718-b13a91fb4f37</t>
  </si>
  <si>
    <t>Ryan Riley</t>
  </si>
  <si>
    <t>6a3ad8be-9901-417a-8c62-067319e63b76</t>
  </si>
  <si>
    <t>William Davis</t>
  </si>
  <si>
    <t>016b6bdc-8a5c-45bc-b03b-593b0d647dcd</t>
  </si>
  <si>
    <t>David Williams</t>
  </si>
  <si>
    <t>Arthritis</t>
  </si>
  <si>
    <t>Referred to physical therapy for joint strengthening exercises.</t>
  </si>
  <si>
    <t>6f40b3e7-a03c-4ec7-a399-95075f64a22f</t>
  </si>
  <si>
    <t>Brandy Peters</t>
  </si>
  <si>
    <t>Prescribed anti-inflammatory medication.</t>
  </si>
  <si>
    <t>88af29ae-d7dc-4b8f-bf08-5e2853f538d3</t>
  </si>
  <si>
    <t>Megan Davis</t>
  </si>
  <si>
    <t>3be59b28-69c7-43e7-955c-862149756ad7</t>
  </si>
  <si>
    <t>Karen Schmidt</t>
  </si>
  <si>
    <t>Diabetes</t>
  </si>
  <si>
    <t>Lifestyle Changes</t>
  </si>
  <si>
    <t>Insulin therapy initiated; patient instructed on usage.</t>
  </si>
  <si>
    <t>eeb1d067-15cf-4ab1-9daf-bda53479e303</t>
  </si>
  <si>
    <t>Dawn Wilson</t>
  </si>
  <si>
    <t>9cca1e5f-b052-4240-a065-351389b68f19</t>
  </si>
  <si>
    <t>Meghan Thompson</t>
  </si>
  <si>
    <t>f3648e1b-c262-4c3e-a45d-0ac6c7a81acb</t>
  </si>
  <si>
    <t>Tonya Garza</t>
  </si>
  <si>
    <t>4b53dbbf-85a8-4f04-b906-6c5630191794</t>
  </si>
  <si>
    <t>Brandi Davis</t>
  </si>
  <si>
    <t>4db18f9b-05a1-431f-8274-0de6811dbca1</t>
  </si>
  <si>
    <t>Michael Gutierrez</t>
  </si>
  <si>
    <t>ee9d9919-78c3-431b-ab8e-28dec3292c7e</t>
  </si>
  <si>
    <t>Dr. William Greene Jr.</t>
  </si>
  <si>
    <t>40524e2c-6430-463c-8faf-d369b3fddd9e</t>
  </si>
  <si>
    <t>Tiffany Williams</t>
  </si>
  <si>
    <t>Fracture immobilized with casting.</t>
  </si>
  <si>
    <t>24d9adf5-b2d6-4f49-b84b-1b2402d943a3</t>
  </si>
  <si>
    <t>Joshua Banks</t>
  </si>
  <si>
    <t>038a90a9-5472-4d58-8985-ac5bcb662e1d</t>
  </si>
  <si>
    <t>Michael Ochoa</t>
  </si>
  <si>
    <t>Discussed dietary changes to manage blood sugar levels.</t>
  </si>
  <si>
    <t>f780ffbc-af4f-4e3a-8afa-67753f6f6990</t>
  </si>
  <si>
    <t>Robert Shields</t>
  </si>
  <si>
    <t>4e092a76-0b68-4b6a-b80d-320ea327a818</t>
  </si>
  <si>
    <t>Denise Friedman</t>
  </si>
  <si>
    <t>48f08358-9a20-4077-9430-bd32b34e7a6d</t>
  </si>
  <si>
    <t>Anita Harvey</t>
  </si>
  <si>
    <t>951a45ad-865e-40e1-95a8-ca772715fb73</t>
  </si>
  <si>
    <t>Mackenzie Holt</t>
  </si>
  <si>
    <t>8fe553d6-845f-4f08-b8e1-ed2d4f9c1b3b</t>
  </si>
  <si>
    <t>Jennifer Elliott</t>
  </si>
  <si>
    <t>97ff8199-325d-46d5-bf82-88f63b32a4c0</t>
  </si>
  <si>
    <t>George Hoffman</t>
  </si>
  <si>
    <t>ff7a4e29-7661-4c03-8514-c80d8d624ae7</t>
  </si>
  <si>
    <t>Elizabeth Kim</t>
  </si>
  <si>
    <t>de15d75c-c1d2-4c61-af29-7cc15269e1fa</t>
  </si>
  <si>
    <t>Kevin Flores</t>
  </si>
  <si>
    <t>Advised on lifestyle modifications to reduce joint pain.</t>
  </si>
  <si>
    <t>1572ddfe-5431-4123-9ef5-deeac4c0e0fb</t>
  </si>
  <si>
    <t>Charles Gonzalez</t>
  </si>
  <si>
    <t>d1385858-6e62-444c-8a08-5cf985337a4f</t>
  </si>
  <si>
    <t>Lisa Perez</t>
  </si>
  <si>
    <t>916807ad-cf61-4482-8727-6b5bce7804d1</t>
  </si>
  <si>
    <t>Christine Gutierrez</t>
  </si>
  <si>
    <t>6a572387-3c92-4eb6-b1b8-f5eb4ac6806b</t>
  </si>
  <si>
    <t>Carol Silva</t>
  </si>
  <si>
    <t>f751594a-866b-4c07-8265-42fdb5071dcf</t>
  </si>
  <si>
    <t>Andrew Gonzalez</t>
  </si>
  <si>
    <t>fe0186f8-3a90-4150-a680-3e68e255e746</t>
  </si>
  <si>
    <t>Sandra Johnson</t>
  </si>
  <si>
    <t>487e66fb-85cd-4401-8e83-7a2f22a98507</t>
  </si>
  <si>
    <t>Joseph Nelson</t>
  </si>
  <si>
    <t>f26ec283-1197-4012-83b7-7d8136601c6f</t>
  </si>
  <si>
    <t>Daniel Berger</t>
  </si>
  <si>
    <t>5d78142a-05c0-4dcf-8953-f4ae29fd9b4b</t>
  </si>
  <si>
    <t>Benjamin Collins</t>
  </si>
  <si>
    <t>3220aaaa-5921-4f7c-ba71-be218d6bef59</t>
  </si>
  <si>
    <t>Stephen Soto</t>
  </si>
  <si>
    <t>6376060d-c844-47b8-9c4c-64bff7cb1ea1</t>
  </si>
  <si>
    <t>Andrew Smith</t>
  </si>
  <si>
    <t>0a7a6e98-74d4-4723-85a0-b004ffed0417</t>
  </si>
  <si>
    <t>Joseph Shelton</t>
  </si>
  <si>
    <t>Insulin Therapy</t>
  </si>
  <si>
    <t>8c6b429f-683d-4e5d-b098-7f552499c48c</t>
  </si>
  <si>
    <t>John Chapman</t>
  </si>
  <si>
    <t>6b470e6b-96b9-44d6-b210-e11f7835a828</t>
  </si>
  <si>
    <t>Craig Neal</t>
  </si>
  <si>
    <t>4edd2267-856a-470a-900a-fb58cf374e98</t>
  </si>
  <si>
    <t>Russell Anderson</t>
  </si>
  <si>
    <t>796acce5-7f02-4623-8845-c8dd71477206</t>
  </si>
  <si>
    <t>Diane Shelton</t>
  </si>
  <si>
    <t>ecfde653-89a5-43f1-90fd-7395f80db1b3</t>
  </si>
  <si>
    <t>Deborah Jones</t>
  </si>
  <si>
    <t>f4f8bd60-6b83-4958-a0c0-7694f3b9f035</t>
  </si>
  <si>
    <t>Lori Black</t>
  </si>
  <si>
    <t>3830bc25-48ba-4fed-afb4-43e77159ff09</t>
  </si>
  <si>
    <t>Lee Schultz</t>
  </si>
  <si>
    <t>10ad44e8-d709-444f-81dc-487af1eec5bb</t>
  </si>
  <si>
    <t>Lisa Moreno</t>
  </si>
  <si>
    <t>f799c1c5-fffb-45ab-8485-a74991f1c4ec</t>
  </si>
  <si>
    <t>Michelle Davenport</t>
  </si>
  <si>
    <t>88eb7253-9fb7-42cb-9548-915e0aa9a516</t>
  </si>
  <si>
    <t>Xavier Lara</t>
  </si>
  <si>
    <t>5e583a12-cad0-41cc-b770-f4ee6e304725</t>
  </si>
  <si>
    <t>Yvette Cohen</t>
  </si>
  <si>
    <t>d57d5de6-d9a0-4b43-b0e4-475c6524f9ba</t>
  </si>
  <si>
    <t>Kelly Conner</t>
  </si>
  <si>
    <t>ed4c4b82-0e82-49f2-8940-73f270c641c9</t>
  </si>
  <si>
    <t>Michael Mcdonald</t>
  </si>
  <si>
    <t>d577bcca-e848-4582-9b2f-d4907dd5e466</t>
  </si>
  <si>
    <t>Rhonda Peters</t>
  </si>
  <si>
    <t>86d559d4-d455-4ec9-b3f5-f7f1bfbbd3c0</t>
  </si>
  <si>
    <t>Victoria Reid</t>
  </si>
  <si>
    <t>49d43811-6151-408c-912f-4819b4c175fc</t>
  </si>
  <si>
    <t>Rebecca Johnson</t>
  </si>
  <si>
    <t>0d355a77-5656-4222-a2c3-a8f41ced977f</t>
  </si>
  <si>
    <t>Richard Hawkins</t>
  </si>
  <si>
    <t>13c8a214-940f-40ff-9fa2-cf1285644752</t>
  </si>
  <si>
    <t>Amanda Faulkner</t>
  </si>
  <si>
    <t>369a12d6-6254-4768-aa66-784c4b03512b</t>
  </si>
  <si>
    <t>David Farmer</t>
  </si>
  <si>
    <t>88961dc8-615d-494b-9c3a-19f3cf95ba04</t>
  </si>
  <si>
    <t>Katelyn Conway</t>
  </si>
  <si>
    <t>05eb8418-c80d-4578-b7ff-6c2326355772</t>
  </si>
  <si>
    <t>Noah Cunningham</t>
  </si>
  <si>
    <t>49e35484-73a1-449e-bfd5-a3a212f5a390</t>
  </si>
  <si>
    <t>Christopher Morton</t>
  </si>
  <si>
    <t>6bf9dbeb-33d9-4ef6-84f2-501d443de4ce</t>
  </si>
  <si>
    <t>Jose Taylor</t>
  </si>
  <si>
    <t>Patient advised to monitor blood sugar levels regularly.</t>
  </si>
  <si>
    <t>e4a42fc8-3508-46b1-b096-fc43a085b0c2</t>
  </si>
  <si>
    <t>Jennifer Thomas</t>
  </si>
  <si>
    <t>502ad88d-7700-4a6c-94a1-b784a65d1483</t>
  </si>
  <si>
    <t>Stephanie Nelson</t>
  </si>
  <si>
    <t>84f49173-37b2-473f-9486-2115203bcbf2</t>
  </si>
  <si>
    <t>Deanna Gordon</t>
  </si>
  <si>
    <t>6f2e772b-30e7-40df-bed6-8aa61cd30bd3</t>
  </si>
  <si>
    <t>Michael Gonzalez</t>
  </si>
  <si>
    <t>9a7cd9b4-e39a-487b-b511-55d43714c914</t>
  </si>
  <si>
    <t>Sharon Lewis</t>
  </si>
  <si>
    <t>3045d288-63a1-4fb5-b981-1a894198b9c1</t>
  </si>
  <si>
    <t>Rachel Serrano</t>
  </si>
  <si>
    <t>9da14116-1b55-4636-976b-33c1c953719b</t>
  </si>
  <si>
    <t>Laura Lopez</t>
  </si>
  <si>
    <t>cb52f8ef-35c8-4fc5-9f1f-dbda3dd53cdf</t>
  </si>
  <si>
    <t>Brianna Wallace</t>
  </si>
  <si>
    <t>30c25fbe-e943-4c22-a72f-7f7e9c2103ef</t>
  </si>
  <si>
    <t>Amber Moody</t>
  </si>
  <si>
    <t>600a33e0-956a-4d0a-8639-a732cab36d9a</t>
  </si>
  <si>
    <t>Randall Davis</t>
  </si>
  <si>
    <t>c30e7099-5988-42dc-9fe3-3f58c6453113</t>
  </si>
  <si>
    <t>Matthew Green</t>
  </si>
  <si>
    <t>bd5060af-b7bc-420a-886b-c7886f770bde</t>
  </si>
  <si>
    <t>Robert Horn</t>
  </si>
  <si>
    <t>85af9c52-5c26-4d05-b967-e7b99d82c6ce</t>
  </si>
  <si>
    <t>Dr. Christopher Morton</t>
  </si>
  <si>
    <t>592d41b8-4497-4918-89a6-d111f78f545e</t>
  </si>
  <si>
    <t>Sara Kirby</t>
  </si>
  <si>
    <t>fe404ed7-633c-4a5e-8869-b8ded7d67b8f</t>
  </si>
  <si>
    <t>Cynthia Perry</t>
  </si>
  <si>
    <t>19bf3708-291c-44e7-8cba-7559553b9023</t>
  </si>
  <si>
    <t>Glenda Reyes</t>
  </si>
  <si>
    <t>79e84b96-a262-48d6-9bb3-fa907b320716</t>
  </si>
  <si>
    <t>Denise Cervantes</t>
  </si>
  <si>
    <t>5a2589dd-e769-4709-95e6-2b6e2c24afb8</t>
  </si>
  <si>
    <t>Elizabeth Harding</t>
  </si>
  <si>
    <t>8a7005de-a8dd-4fea-9abb-cc581dcfbd9e</t>
  </si>
  <si>
    <t>Felicia Fletcher</t>
  </si>
  <si>
    <t>11b630a2-d1d8-4c8b-83ea-09fcd60be880</t>
  </si>
  <si>
    <t>James Smith</t>
  </si>
  <si>
    <t>55eada07-ee97-4c50-a4c5-7aec5c385428</t>
  </si>
  <si>
    <t>Charles Warren</t>
  </si>
  <si>
    <t>e3a94046-ecf3-4626-b538-e281d7e55f32</t>
  </si>
  <si>
    <t>Andrew King</t>
  </si>
  <si>
    <t>e18e3ae9-b727-47d0-b84f-b62fc8d37adf</t>
  </si>
  <si>
    <t>Marie Johnson</t>
  </si>
  <si>
    <t>b01682b8-9fb0-47c3-87cf-40d45c8539e4</t>
  </si>
  <si>
    <t>Brian Walton</t>
  </si>
  <si>
    <t>33840ef8-e22f-42cd-9d26-7681a51281e2</t>
  </si>
  <si>
    <t>Stephanie Flores DDS</t>
  </si>
  <si>
    <t>612b3ae5-4204-4cdf-acac-766dc271a51d</t>
  </si>
  <si>
    <t>Alexis Greene</t>
  </si>
  <si>
    <t>bb40b293-22b7-4674-8f5c-2464235eb4de</t>
  </si>
  <si>
    <t>Mark Thomas</t>
  </si>
  <si>
    <t>01df3728-cefa-421f-9adf-2172f67bb175</t>
  </si>
  <si>
    <t>Richard Perkins</t>
  </si>
  <si>
    <t>d6f94eab-ea55-4ebc-aba6-d797b415a36a</t>
  </si>
  <si>
    <t>Kim Gutierrez</t>
  </si>
  <si>
    <t>cf629ab7-d8c9-4501-89e2-39987bd2eea0</t>
  </si>
  <si>
    <t>Melissa Clark</t>
  </si>
  <si>
    <t>f7ae99c6-147a-4a70-b1ef-ac2bf87491ba</t>
  </si>
  <si>
    <t>Adriana Davis</t>
  </si>
  <si>
    <t>a6474cc5-902b-4f61-b640-4bf2daa1782a</t>
  </si>
  <si>
    <t>Jennifer Cross</t>
  </si>
  <si>
    <t>ba1dc0de-5b40-411b-ad3b-9b94ecb8ab3c</t>
  </si>
  <si>
    <t>Jennifer Thomas MD</t>
  </si>
  <si>
    <t>6dae2231-2930-40bc-8aab-24e205034bb1</t>
  </si>
  <si>
    <t>Martin Stevens</t>
  </si>
  <si>
    <t>0d76f459-9839-4edb-87cd-06dc2ab39fad</t>
  </si>
  <si>
    <t>Jeffrey Burns DDS</t>
  </si>
  <si>
    <t>d45e635e-7861-4f6f-909b-9415bbb63602</t>
  </si>
  <si>
    <t>Patrick Miller</t>
  </si>
  <si>
    <t>6b572dd2-36f4-4123-9d91-a350ff68c7d6</t>
  </si>
  <si>
    <t>John Dougherty</t>
  </si>
  <si>
    <t>5bb8f4f5-e7b2-49ac-9fe7-34beda8edec9</t>
  </si>
  <si>
    <t>Richard Terry</t>
  </si>
  <si>
    <t>e968321e-820b-44f7-9b97-ac74f4859548</t>
  </si>
  <si>
    <t>Brett Johnson</t>
  </si>
  <si>
    <t>82c83903-2e1f-41af-8a88-e522f0aa9700</t>
  </si>
  <si>
    <t>John Ryan</t>
  </si>
  <si>
    <t>0a609565-8cbc-4e36-ab34-430f5183069c</t>
  </si>
  <si>
    <t>Joseph Miller</t>
  </si>
  <si>
    <t>386993a4-7292-4185-b7c3-ea354c1f76c7</t>
  </si>
  <si>
    <t>Jacqueline Diaz</t>
  </si>
  <si>
    <t>2964818a-8ed2-4b0a-9ed8-ca9216f12372</t>
  </si>
  <si>
    <t>Ashley Hernandez</t>
  </si>
  <si>
    <t>ac5cab5b-6a9a-406a-b0ec-3a7f148419d3</t>
  </si>
  <si>
    <t>Marissa Cole</t>
  </si>
  <si>
    <t>4aa8fb1d-2e7a-4a8d-bd88-60768877273f</t>
  </si>
  <si>
    <t>Laura Velasquez</t>
  </si>
  <si>
    <t>c568470b-7149-4a4f-aa44-801635b0afe5</t>
  </si>
  <si>
    <t>Kevin Washington</t>
  </si>
  <si>
    <t>0ee3999e-d77f-4985-abae-71c1a4f0a003</t>
  </si>
  <si>
    <t>David Jackson</t>
  </si>
  <si>
    <t>3d6b76a9-aa27-4dcd-bf8e-ee9e6259d1ce</t>
  </si>
  <si>
    <t>Valerie Martin</t>
  </si>
  <si>
    <t>af00ac9c-04aa-40f4-abde-94b151dca614</t>
  </si>
  <si>
    <t>Neil Coleman</t>
  </si>
  <si>
    <t>93ef3d90-a82d-4abb-a74d-26a7861dbf25</t>
  </si>
  <si>
    <t>Ashley Reeves</t>
  </si>
  <si>
    <t>132c7b14-9f46-453f-8385-55fc2df8ae91</t>
  </si>
  <si>
    <t>Arthur Hardin</t>
  </si>
  <si>
    <t>b70317d0-7246-40a6-9e7d-90a94c75eb02</t>
  </si>
  <si>
    <t>Tina Scott</t>
  </si>
  <si>
    <t>b6471650-f5ca-40a3-977a-b765bd92eed3</t>
  </si>
  <si>
    <t>Shannon Hayes</t>
  </si>
  <si>
    <t>2d90f7bd-9a49-4aee-bb81-b51c626db732</t>
  </si>
  <si>
    <t>Kimberly Daniels</t>
  </si>
  <si>
    <t>fc56928a-c9ab-49ba-850c-368f08dde733</t>
  </si>
  <si>
    <t>Charles Oliver</t>
  </si>
  <si>
    <t>32342b20-51b0-4fd7-acd0-ea7a268f971a</t>
  </si>
  <si>
    <t>Carlos Young</t>
  </si>
  <si>
    <t>3aba0c69-2934-4741-8120-5b34197714cc</t>
  </si>
  <si>
    <t>Zachary Wright</t>
  </si>
  <si>
    <t>d8e675b9-0419-4870-b514-29cc50249885</t>
  </si>
  <si>
    <t>Jonathan Thomas</t>
  </si>
  <si>
    <t>e64e564d-c9e4-4e76-97aa-2bfa545fdb0e</t>
  </si>
  <si>
    <t>Christopher Mcclain</t>
  </si>
  <si>
    <t>c62df06e-121f-4044-8b26-cc8763a0136d</t>
  </si>
  <si>
    <t>Lisa Caldwell</t>
  </si>
  <si>
    <t>04b124d5-b7ad-449f-8ac3-2796eb889f6b</t>
  </si>
  <si>
    <t>Leah James</t>
  </si>
  <si>
    <t>77ab152e-407c-4ae2-88e9-c34587bc6561</t>
  </si>
  <si>
    <t>Andrea Wood</t>
  </si>
  <si>
    <t>46fb8d08-4a27-41d5-a0f2-28f15f75c5d9</t>
  </si>
  <si>
    <t>John Gomez</t>
  </si>
  <si>
    <t>3f1e55ad-ccf7-4bd1-a957-222db2c2d9f9</t>
  </si>
  <si>
    <t>Marcus Jensen</t>
  </si>
  <si>
    <t>Hypertension</t>
  </si>
  <si>
    <t>Advised to reduce salt intake and increase physical activity.</t>
  </si>
  <si>
    <t>190aefdd-802c-47a9-a454-25c4434b1d6e</t>
  </si>
  <si>
    <t>Cynthia Harvey</t>
  </si>
  <si>
    <t>3cde4395-fb05-4d92-8786-9a7c2ebb77c0</t>
  </si>
  <si>
    <t>Stephen Moore</t>
  </si>
  <si>
    <t>e4a9d5f0-f31d-4b3e-a270-308b73a771ff</t>
  </si>
  <si>
    <t>Gary Nicholson</t>
  </si>
  <si>
    <t>Patient started on antihypertensive medication.</t>
  </si>
  <si>
    <t>98fa0568-a316-4369-862a-defb0b24423c</t>
  </si>
  <si>
    <t>Sarah Adams</t>
  </si>
  <si>
    <t>Follow-up in two weeks to monitor blood pressure.</t>
  </si>
  <si>
    <t>40cdf01c-4646-404d-9886-b2d30b4acce2</t>
  </si>
  <si>
    <t>Crystal Lowe</t>
  </si>
  <si>
    <t>Anxiety</t>
  </si>
  <si>
    <t>Anxiolytics</t>
  </si>
  <si>
    <t>Discussed stress management techniques.</t>
  </si>
  <si>
    <t>422bd94a-41e1-4bdc-96a3-f7570a868df1</t>
  </si>
  <si>
    <t>Christopher Rodriguez</t>
  </si>
  <si>
    <t>b00d9706-30cf-44dd-8acc-6f1991932b15</t>
  </si>
  <si>
    <t>Matthew Mcdaniel</t>
  </si>
  <si>
    <t>08ca00f5-7e53-4424-8be3-958db401cc39</t>
  </si>
  <si>
    <t>Suzanne Gross</t>
  </si>
  <si>
    <t>Prescribed anxiolytic medication for symptom control.</t>
  </si>
  <si>
    <t>ff7facdb-6bbf-411c-94f8-5c96899b0865</t>
  </si>
  <si>
    <t>James Howard</t>
  </si>
  <si>
    <t>f50b5064-5f17-4e74-bf67-20a467ad5cad</t>
  </si>
  <si>
    <t>Kelsey Johnson</t>
  </si>
  <si>
    <t>5ee12575-19d4-4965-a893-1e19f89fc8b4</t>
  </si>
  <si>
    <t>Thomas Wilson</t>
  </si>
  <si>
    <t>Depression</t>
  </si>
  <si>
    <t>Antidepressants</t>
  </si>
  <si>
    <t>Prescribed antidepressant medication.</t>
  </si>
  <si>
    <t>c270f384-4500-44c0-b97a-beb8c4d01bca</t>
  </si>
  <si>
    <t>Sheila Kerr</t>
  </si>
  <si>
    <t>Follow-up to assess effectiveness of treatment.</t>
  </si>
  <si>
    <t>5855a0be-6400-4dd4-8d48-6459ab9e5f4d</t>
  </si>
  <si>
    <t>Jacob Evans</t>
  </si>
  <si>
    <t>Asthma</t>
  </si>
  <si>
    <t>Prescribed bronchodilator for immediate relief.</t>
  </si>
  <si>
    <t>14455bf6-b69d-4fc4-bd28-e923ee0d67d0</t>
  </si>
  <si>
    <t>Eric Bailey</t>
  </si>
  <si>
    <t>c51eddcf-120c-4136-ac8a-c6b58483ca2b</t>
  </si>
  <si>
    <t>Jo Burch</t>
  </si>
  <si>
    <t>42ac1358-e579-4432-9093-dbfc68d51225</t>
  </si>
  <si>
    <t>Johnny Schultz</t>
  </si>
  <si>
    <t>Therapy</t>
  </si>
  <si>
    <t>Referred to therapy for additional support.</t>
  </si>
  <si>
    <t>10aa00cb-d137-4311-9647-55e6d629e1b4</t>
  </si>
  <si>
    <t>Carlos Bell</t>
  </si>
  <si>
    <t>3ab3cf9f-7455-4250-bb2f-61394901bf9d</t>
  </si>
  <si>
    <t>Jennifer Vega</t>
  </si>
  <si>
    <t>f282822e-bad5-4937-96b7-eb3cb56f03b3</t>
  </si>
  <si>
    <t>Hunter Stone</t>
  </si>
  <si>
    <t>Referred to cognitive behavioral therapy.</t>
  </si>
  <si>
    <t>c1819031-fe20-48a1-a418-b38114351138</t>
  </si>
  <si>
    <t>Ashley Shepard</t>
  </si>
  <si>
    <t>4508f173-15f3-44f6-844e-38e0c962e850</t>
  </si>
  <si>
    <t>Robert Charles</t>
  </si>
  <si>
    <t>94194987-ba5c-45b5-99cc-1f33a36791bd</t>
  </si>
  <si>
    <t>Cameron Parker</t>
  </si>
  <si>
    <t>fb27f30f-c615-4d7d-bdc3-5aa4d92f756b</t>
  </si>
  <si>
    <t>Alicia Hobbs</t>
  </si>
  <si>
    <t>Inhalers</t>
  </si>
  <si>
    <t>085114df-f5ed-462e-b858-e38fefa67a7e</t>
  </si>
  <si>
    <t>James Alvarez</t>
  </si>
  <si>
    <t>0f109ad0-7c40-4197-9ff4-bc6831bcb184</t>
  </si>
  <si>
    <t>Mark Ramsey</t>
  </si>
  <si>
    <t>25e1ba57-5a7c-4ab7-9a92-96896685b2b0</t>
  </si>
  <si>
    <t>Brandon White</t>
  </si>
  <si>
    <t>65355403-d1c8-44ce-a611-dea646da69ef</t>
  </si>
  <si>
    <t>Timothy Pineda</t>
  </si>
  <si>
    <t>Patient instructed on proper inhaler technique.</t>
  </si>
  <si>
    <t>94e618a9-2f4f-43a6-ad36-ea69c4cefdf2</t>
  </si>
  <si>
    <t>Eugene Hardy</t>
  </si>
  <si>
    <t>bcc43bd4-5ece-4ce3-bce1-e2357510b655</t>
  </si>
  <si>
    <t>Deanna Carlson</t>
  </si>
  <si>
    <t>c52b3462-a87f-4e17-ac99-90838c9c8d54</t>
  </si>
  <si>
    <t>Lisa Green</t>
  </si>
  <si>
    <t>0daa3f73-51c1-4e8b-89c1-5e2d57b5ef36</t>
  </si>
  <si>
    <t>Lynn Brandt</t>
  </si>
  <si>
    <t>66a43bfe-3f29-4f19-892e-46b2964ba7e1</t>
  </si>
  <si>
    <t>Bryan Hill</t>
  </si>
  <si>
    <t>1322b035-a304-4c85-a843-9991fb0d3a96</t>
  </si>
  <si>
    <t>Gregory Kirk</t>
  </si>
  <si>
    <t>0a4bcb32-39b2-49c9-ae11-a7aa19e23d42</t>
  </si>
  <si>
    <t>Travis Newman</t>
  </si>
  <si>
    <t>36afc640-ce2e-4da2-90ed-f4903777c9c2</t>
  </si>
  <si>
    <t>Mrs. Debbie Gardner DVM</t>
  </si>
  <si>
    <t>fc8b176b-e849-47a3-8ea2-115a0dc1a835</t>
  </si>
  <si>
    <t>Amy Gill</t>
  </si>
  <si>
    <t>65a19a2b-b147-42bc-b805-c9924dc43825</t>
  </si>
  <si>
    <t>806ac7bd-badb-4820-9b30-b728e9a75de7</t>
  </si>
  <si>
    <t>Jessica Cox</t>
  </si>
  <si>
    <t>ab3ce33a-bea6-408d-9b4a-b315cca973f7</t>
  </si>
  <si>
    <t>Johnathan Richard</t>
  </si>
  <si>
    <t>Advised to avoid known asthma triggers.</t>
  </si>
  <si>
    <t>e92e88b4-c3d6-486f-a683-68f0658bdd20</t>
  </si>
  <si>
    <t>Courtney Jacobs</t>
  </si>
  <si>
    <t>adc772f9-8a5f-4bed-a333-5195c725c129</t>
  </si>
  <si>
    <t>Dr. Kristina Blake</t>
  </si>
  <si>
    <t>674f5f47-1196-4e3b-98ed-bf8f1eb5726a</t>
  </si>
  <si>
    <t>Michelle Martin</t>
  </si>
  <si>
    <t>7541f657-43d7-4554-b26f-c030243dd01e</t>
  </si>
  <si>
    <t>Craig Sanchez</t>
  </si>
  <si>
    <t>def0d02f-a8b0-494a-98ec-66dba71b8070</t>
  </si>
  <si>
    <t>Michael Williams</t>
  </si>
  <si>
    <t>039968d9-3301-4020-b8aa-eb8d12e6fb65</t>
  </si>
  <si>
    <t>Mark Williams</t>
  </si>
  <si>
    <t>764bac43-1f54-4076-a5f2-ce82d46aef92</t>
  </si>
  <si>
    <t>Stacy Johnson</t>
  </si>
  <si>
    <t>f4e9705d-31c4-42c7-bb0d-9dae8b56ee35</t>
  </si>
  <si>
    <t>David Malone</t>
  </si>
  <si>
    <t>bb13c2a3-ac1c-40ee-8e3f-34b4281ec460</t>
  </si>
  <si>
    <t>Janet Pope DDS</t>
  </si>
  <si>
    <t>126f582a-9cef-45bf-9f94-bf08f6c760ce</t>
  </si>
  <si>
    <t>Janet Reed</t>
  </si>
  <si>
    <t>3507c0ea-dff5-42b8-8525-486148ade440</t>
  </si>
  <si>
    <t>Kelly Guerra</t>
  </si>
  <si>
    <t>c906d8af-c984-4eb6-96de-9d814f1b3659</t>
  </si>
  <si>
    <t>Jay Rice</t>
  </si>
  <si>
    <t>3588db0e-461b-4d8b-87b9-2f95745808ed</t>
  </si>
  <si>
    <t>Cody Gay</t>
  </si>
  <si>
    <t>dafdb765-d24b-4a9f-9fef-9c1fa44cd8b5</t>
  </si>
  <si>
    <t>Christy Gomez</t>
  </si>
  <si>
    <t>44f7f36e-03e7-4d6c-9f44-cf2d01b93ebb</t>
  </si>
  <si>
    <t>Wayne Mendoza</t>
  </si>
  <si>
    <t>46193c74-4c99-480a-bcd3-f5df59fb6fbd</t>
  </si>
  <si>
    <t>Hannah Maynard</t>
  </si>
  <si>
    <t>3b9f181c-1b33-4578-ab13-3f574d0c7eda</t>
  </si>
  <si>
    <t>Ashley Russell</t>
  </si>
  <si>
    <t>d38e1c48-a10a-4c5d-b046-24fa1506c726</t>
  </si>
  <si>
    <t>Erika Fox</t>
  </si>
  <si>
    <t>ac66d549-f939-4469-ac73-5a94869d96c8</t>
  </si>
  <si>
    <t>Tina Rivera</t>
  </si>
  <si>
    <t>b689b4b7-04a2-4620-9940-5010dbd52aac</t>
  </si>
  <si>
    <t>Paul Berg</t>
  </si>
  <si>
    <t>1e2c30d6-9193-40d7-9dfe-fa3a509fe1c3</t>
  </si>
  <si>
    <t>Christina West</t>
  </si>
  <si>
    <t>73c5444f-389d-487d-a88b-d73905e1c0d3</t>
  </si>
  <si>
    <t>Matthew Rodriguez</t>
  </si>
  <si>
    <t>80c11ef1-294d-4ac8-9a68-b2a62827df3e</t>
  </si>
  <si>
    <t>Elaine Jones</t>
  </si>
  <si>
    <t>ed0ed882-50cf-4ac0-b325-215c05ecb9b2</t>
  </si>
  <si>
    <t>Joyce Cobb</t>
  </si>
  <si>
    <t>2d81b5e6-5af6-4552-9a4d-8f369434f864</t>
  </si>
  <si>
    <t>Jack Johnson</t>
  </si>
  <si>
    <t>b48b0e44-f908-44fd-ba12-3ad1a2304e0b</t>
  </si>
  <si>
    <t>Brandy Oconnor</t>
  </si>
  <si>
    <t>0525af66-74e9-45a5-b1e4-e86cf85e549d</t>
  </si>
  <si>
    <t>Christopher Sanchez</t>
  </si>
  <si>
    <t>13cd3337-57ea-425b-8ff1-0ff7faf1d73b</t>
  </si>
  <si>
    <t>Briana Lucas</t>
  </si>
  <si>
    <t>b1e47d2b-c783-4fa0-bde3-4ae86619b791</t>
  </si>
  <si>
    <t>Donald Martinez</t>
  </si>
  <si>
    <t>a65381a8-e925-4ebd-8859-9369011f32c6</t>
  </si>
  <si>
    <t>Jamie Lozano</t>
  </si>
  <si>
    <t>2bae588e-b82c-41dd-a28c-94c836eb42bc</t>
  </si>
  <si>
    <t>Bernard Monroe</t>
  </si>
  <si>
    <t>f2a3a4c1-bf0b-4d8b-8a14-ed901bde36ca</t>
  </si>
  <si>
    <t>Laura Washington</t>
  </si>
  <si>
    <t>294df0d7-1f54-4d18-b637-976a979d6b7c</t>
  </si>
  <si>
    <t>Natalie Gamble</t>
  </si>
  <si>
    <t>3c60a379-7c7c-43fa-9e1b-7f6f48d4cb61</t>
  </si>
  <si>
    <t>Kenneth Sampson</t>
  </si>
  <si>
    <t>faccc8d5-1f7c-4310-9fc5-cd22d38ad475</t>
  </si>
  <si>
    <t>Travis Castillo</t>
  </si>
  <si>
    <t>10a1515a-acd7-4ae9-8cc2-af3ad8dcf61f</t>
  </si>
  <si>
    <t>Cameron Kramer</t>
  </si>
  <si>
    <t>7c494f94-973e-4e59-8c1d-e04c863d379c</t>
  </si>
  <si>
    <t>Colleen Miles</t>
  </si>
  <si>
    <t>a6dffaa0-ec2f-4bdd-883a-822a44f7109a</t>
  </si>
  <si>
    <t>Gregg Garcia</t>
  </si>
  <si>
    <t>743b1be0-9bfd-4d3b-b18c-96721caa14bc</t>
  </si>
  <si>
    <t>Nathan Phillips</t>
  </si>
  <si>
    <t>0f7d6a22-66b1-4674-a890-64e2086978ed</t>
  </si>
  <si>
    <t>Shaun Jones</t>
  </si>
  <si>
    <t>5413ab4f-6e8d-4c12-a3fc-ac28071cedbc</t>
  </si>
  <si>
    <t>Katherine Martin</t>
  </si>
  <si>
    <t>b6fbf853-4512-4818-954c-a80fa7ad9878</t>
  </si>
  <si>
    <t>Margaret Myers</t>
  </si>
  <si>
    <t>e5d021f6-4cd5-4ddb-b5fe-30be9d1213f3</t>
  </si>
  <si>
    <t>Barbara Dominguez</t>
  </si>
  <si>
    <t>10c3bcac-4d76-41e7-8587-da1ce7550ac1</t>
  </si>
  <si>
    <t>Travis Davis</t>
  </si>
  <si>
    <t>8099ec65-a885-4acb-b3f7-9b864bb52aed</t>
  </si>
  <si>
    <t>James Nelson</t>
  </si>
  <si>
    <t>aa5989f1-0261-4bd6-8b4d-2aecd468c0de</t>
  </si>
  <si>
    <t>Dr. Marissa Nolan</t>
  </si>
  <si>
    <t>deaa5702-3ea9-4a34-b7e1-b2645258e36f</t>
  </si>
  <si>
    <t>Paul Lopez</t>
  </si>
  <si>
    <t>de303dfb-1cf3-4950-9f0e-5316a2633efc</t>
  </si>
  <si>
    <t>Jeffrey Winters</t>
  </si>
  <si>
    <t>10d5bb00-cc18-4654-888e-cc8dfbaa8e3b</t>
  </si>
  <si>
    <t>Olivia Sexton</t>
  </si>
  <si>
    <t>7462229a-4859-42f1-893a-f33c15409062</t>
  </si>
  <si>
    <t>Benjamin Frazier</t>
  </si>
  <si>
    <t>2fabaa47-fe5e-4f95-bce0-d4a2f7696623</t>
  </si>
  <si>
    <t>Shannon Myers</t>
  </si>
  <si>
    <t>f4a8657f-196b-4856-b774-d99eb27a19c9</t>
  </si>
  <si>
    <t>Christina Jones</t>
  </si>
  <si>
    <t>f06abaf6-5ac5-4ce1-84cb-fa0a6f0c74d6</t>
  </si>
  <si>
    <t>John Campbell</t>
  </si>
  <si>
    <t>12bbac23-34d8-4f51-9373-345d8b306213</t>
  </si>
  <si>
    <t>Lindsey Cruz</t>
  </si>
  <si>
    <t>Influenza</t>
  </si>
  <si>
    <t>Rest</t>
  </si>
  <si>
    <t>Prescribed antiviral medication; start immediately.</t>
  </si>
  <si>
    <t>90b0a72c-ca26-4872-a6c2-afa1c3a63a34</t>
  </si>
  <si>
    <t>Sheila Gonzales</t>
  </si>
  <si>
    <t>Sinusitis</t>
  </si>
  <si>
    <t>Advised on steam inhalation for symptom relief.</t>
  </si>
  <si>
    <t>0bfc5117-a75d-4d64-88c9-9146bd08f0fc</t>
  </si>
  <si>
    <t>Jordan Padilla</t>
  </si>
  <si>
    <t>05908b7c-af35-4500-b3b2-017b88a2cc1c</t>
  </si>
  <si>
    <t>Derrick Martinez</t>
  </si>
  <si>
    <t>Burns</t>
  </si>
  <si>
    <t>Topical Creams</t>
  </si>
  <si>
    <t>Prescribed pain relief medication.</t>
  </si>
  <si>
    <t>acd535df-6cd7-4782-a628-5fa271bc595e</t>
  </si>
  <si>
    <t>Christopher Olson</t>
  </si>
  <si>
    <t>07360377-b987-41e6-bb63-e24e5e3d8359</t>
  </si>
  <si>
    <t>Karen Osborne</t>
  </si>
  <si>
    <t>40691ada-e5ac-4173-a0b2-6213a35df1fe</t>
  </si>
  <si>
    <t>Jerry Nunez</t>
  </si>
  <si>
    <t>Sprain</t>
  </si>
  <si>
    <t>Compression</t>
  </si>
  <si>
    <t>Monitor for any signs of worsening symptoms.</t>
  </si>
  <si>
    <t>8886ed8d-efe5-47c6-acc1-b5d1ae399c15</t>
  </si>
  <si>
    <t>Jennifer Jones</t>
  </si>
  <si>
    <t>e0cca5c2-ac7a-46cf-a313-870019494c97</t>
  </si>
  <si>
    <t>Stephen Rogers</t>
  </si>
  <si>
    <t>Advised rest and maintain hydration.</t>
  </si>
  <si>
    <t>6c11dc28-be2c-48c8-a99f-fb7d771e5ce9</t>
  </si>
  <si>
    <t>Abigail Stewart</t>
  </si>
  <si>
    <t>be104834-c6e4-4b1c-9bc1-c278e27a91a0</t>
  </si>
  <si>
    <t>Maurice Gordon</t>
  </si>
  <si>
    <t>bee33117-8ab9-4d5c-89b2-9e5df6f1476c</t>
  </si>
  <si>
    <t>Marvin Irwin</t>
  </si>
  <si>
    <t>Migraine</t>
  </si>
  <si>
    <t>Pain Relief Medication</t>
  </si>
  <si>
    <t>Advised on lifestyle changes to reduce migraine triggers.</t>
  </si>
  <si>
    <t>2cf88579-ddd0-42dd-9b98-93703694b1fb</t>
  </si>
  <si>
    <t>Luke Simpson</t>
  </si>
  <si>
    <t>2d0cc5ec-2ce6-4e92-9e0b-7751659301ef</t>
  </si>
  <si>
    <t>Amber Evans</t>
  </si>
  <si>
    <t>Hydration</t>
  </si>
  <si>
    <t>034fbbcf-61f7-4bfd-8c76-208fc27d2ba9</t>
  </si>
  <si>
    <t>Jonathan Rodriguez</t>
  </si>
  <si>
    <t>Bronchitis</t>
  </si>
  <si>
    <t>Monitor for any signs of worsening respiratory symptoms.</t>
  </si>
  <si>
    <t>060cc082-8b71-4497-8b35-27db45c9dbab</t>
  </si>
  <si>
    <t>Isaiah Alvarez</t>
  </si>
  <si>
    <t>704cfc3a-69b7-4f31-a8e4-1230c711a88a</t>
  </si>
  <si>
    <t>Kyle Sutton</t>
  </si>
  <si>
    <t>c7bd21d2-c081-4633-8994-1bf9579bc1a6</t>
  </si>
  <si>
    <t>Desiree Jefferson</t>
  </si>
  <si>
    <t>Prescribed cough medicine and advised rest.</t>
  </si>
  <si>
    <t>33cef9a9-2d29-4dd5-83e8-763cc77ad03f</t>
  </si>
  <si>
    <t>Heather Williams</t>
  </si>
  <si>
    <t>562beb43-1a26-46c3-937a-a99b8ee2e485</t>
  </si>
  <si>
    <t>Christine Hodge</t>
  </si>
  <si>
    <t>Started on antibiotics for bacterial infection.</t>
  </si>
  <si>
    <t>6280078b-f482-4e34-8c13-a2171cbe41c5</t>
  </si>
  <si>
    <t>Timothy Barr</t>
  </si>
  <si>
    <t>Decongestants</t>
  </si>
  <si>
    <t>Prescribed decongestants to relieve sinus pressure.</t>
  </si>
  <si>
    <t>ac203f00-f4f9-4f5b-bf27-4ba8657e578e</t>
  </si>
  <si>
    <t>Thomas Wade</t>
  </si>
  <si>
    <t>03b691a7-d290-47c3-b9e6-a44ffb61f408</t>
  </si>
  <si>
    <t>Andrea Cline</t>
  </si>
  <si>
    <t>46dcbc9b-e4fb-451c-a252-b13b7d7524ca</t>
  </si>
  <si>
    <t>James Sosa</t>
  </si>
  <si>
    <t>88477085-ecfb-45c4-bb9c-11775ad9f6bc</t>
  </si>
  <si>
    <t>Michael Smith</t>
  </si>
  <si>
    <t>79e3f17d-428e-42ab-9745-2f1fafe777d4</t>
  </si>
  <si>
    <t>Meagan Taylor</t>
  </si>
  <si>
    <t>Bandaged affected area to protect from further injury.</t>
  </si>
  <si>
    <t>a5808e62-7f74-459a-bf94-d7bd8ea875ca</t>
  </si>
  <si>
    <t>John Whitehead</t>
  </si>
  <si>
    <t>6a49943f-3b5b-4b8e-a07e-461df90def8a</t>
  </si>
  <si>
    <t>Nicholas Greene</t>
  </si>
  <si>
    <t>2aac91d5-4873-45b7-9f9a-f6cd228c7f0a</t>
  </si>
  <si>
    <t>Mrs. Casey Payne DDS</t>
  </si>
  <si>
    <t>70fc93e3-88f6-4273-a85f-487f609b6398</t>
  </si>
  <si>
    <t>Teresa House</t>
  </si>
  <si>
    <t>c2e72d9f-16e2-45de-9d12-c2c9cd94c84f</t>
  </si>
  <si>
    <t>Cassandra Brown</t>
  </si>
  <si>
    <t>59f72ab8-db52-4ed2-bf56-aeef7b0bf379</t>
  </si>
  <si>
    <t>Jenna Salazar</t>
  </si>
  <si>
    <t>b55c6ba2-abcd-4625-aee9-03f28af6bdc4</t>
  </si>
  <si>
    <t>Patrick Larsen</t>
  </si>
  <si>
    <t>Gastroenteritis</t>
  </si>
  <si>
    <t>Rehydration Therapy</t>
  </si>
  <si>
    <t>Prescribed rehydration solution and advised rest.</t>
  </si>
  <si>
    <t>8eb76d24-8e4c-41ab-9111-f51f2e899ecb</t>
  </si>
  <si>
    <t>Rick Gonzales</t>
  </si>
  <si>
    <t>07e9ce02-8109-4a0c-99bc-700e1644e279</t>
  </si>
  <si>
    <t>Michelle White</t>
  </si>
  <si>
    <t>87937b87-764c-4fe8-9f84-b710e5c4aa6b</t>
  </si>
  <si>
    <t>Fernando Brown</t>
  </si>
  <si>
    <t>8e829c72-a817-4b04-b7a1-fa9a0dbd26ca</t>
  </si>
  <si>
    <t>James Roman</t>
  </si>
  <si>
    <t>Symptomatic treatment for nausea and vomiting.</t>
  </si>
  <si>
    <t>6a97e365-b3bb-40e1-aea0-0ceb5a091c56</t>
  </si>
  <si>
    <t>Krystal Hayes</t>
  </si>
  <si>
    <t>Advised increased fluid intake.</t>
  </si>
  <si>
    <t>de66afea-ddc9-4e9c-8504-7a10172676df</t>
  </si>
  <si>
    <t>Adam Warren</t>
  </si>
  <si>
    <t>Pain Relief</t>
  </si>
  <si>
    <t>Applied topical creams to prevent infection.</t>
  </si>
  <si>
    <t>6ed2077b-0fac-4b65-bf11-fe181793941c</t>
  </si>
  <si>
    <t>Lauren Tucker</t>
  </si>
  <si>
    <t>Elevation</t>
  </si>
  <si>
    <t>Advised RICE (Rest, Ice, Compression, Elevation) protocol.</t>
  </si>
  <si>
    <t>75cb982a-a739-431e-8e22-ba2e4f9aba96</t>
  </si>
  <si>
    <t>Christopher Palmer</t>
  </si>
  <si>
    <t>d233b531-958b-45c6-a089-5c047817293f</t>
  </si>
  <si>
    <t>Adrian Oneill</t>
  </si>
  <si>
    <t>8b5450ff-ef2d-41f5-bcc1-9cc9fd210258</t>
  </si>
  <si>
    <t>Eric Arnold DDS</t>
  </si>
  <si>
    <t>Bandaging</t>
  </si>
  <si>
    <t>8677e930-edd9-40fe-b957-252ea095b7ec</t>
  </si>
  <si>
    <t>Derek Dawson</t>
  </si>
  <si>
    <t>c4b76553-dc52-4283-9ca5-8ba98e98492b</t>
  </si>
  <si>
    <t>Allen Thompson</t>
  </si>
  <si>
    <t>Prescribed medication for immediate pain relief.</t>
  </si>
  <si>
    <t>52c1d2df-bc8b-4738-868d-2696af9007ca</t>
  </si>
  <si>
    <t>Tammy George</t>
  </si>
  <si>
    <t>a81a5042-e3aa-4b8a-89db-7c2bd0b8acf0</t>
  </si>
  <si>
    <t>Wesley Jensen</t>
  </si>
  <si>
    <t>b9ae9743-405f-454c-83d5-a563bd19de35</t>
  </si>
  <si>
    <t>John Reid</t>
  </si>
  <si>
    <t>539c7b32-4288-432d-9373-f4a2f8d22c31</t>
  </si>
  <si>
    <t>Patricia Daniel</t>
  </si>
  <si>
    <t>8d615f40-9e89-48e3-98a9-d00487f1af19</t>
  </si>
  <si>
    <t>39049ac1-0f94-47ff-9ba1-5a1ecd7a4a89</t>
  </si>
  <si>
    <t>Randall Miller</t>
  </si>
  <si>
    <t>f798a354-56ce-4178-a4cd-b77249e64824</t>
  </si>
  <si>
    <t>Carla Mckenzie</t>
  </si>
  <si>
    <t>47f64168-652d-4887-acd6-3dd291964f06</t>
  </si>
  <si>
    <t>Carl Saunders</t>
  </si>
  <si>
    <t>12de7918-1d1c-4c9e-b7cb-e6ab09d3bdf0</t>
  </si>
  <si>
    <t>David Booker</t>
  </si>
  <si>
    <t>4053e5bb-9cb3-49ce-8174-f49b04b5a990</t>
  </si>
  <si>
    <t>Sarah Vincent</t>
  </si>
  <si>
    <t>e84383f4-ff3f-460e-825a-140447b916f3</t>
  </si>
  <si>
    <t>Mallory Sims</t>
  </si>
  <si>
    <t>06a7cef8-73c4-4530-a93a-61e147f13aa0</t>
  </si>
  <si>
    <t>Carrie White</t>
  </si>
  <si>
    <t>2e59f88a-dafb-49cb-9fed-06b037259132</t>
  </si>
  <si>
    <t>Leslie Wilson</t>
  </si>
  <si>
    <t>e0cc7bfc-8dd0-4ce6-81c1-c9234942a5f0</t>
  </si>
  <si>
    <t>Maurice Reese</t>
  </si>
  <si>
    <t>Monitor for any worsening of symptoms.</t>
  </si>
  <si>
    <t>b86d25be-d118-4e34-a7fb-52e3d44d7e56</t>
  </si>
  <si>
    <t>Mitchell Ellis</t>
  </si>
  <si>
    <t>dfa0fa63-93b8-4e16-8e69-01edc2076a83</t>
  </si>
  <si>
    <t>Cameron Haney</t>
  </si>
  <si>
    <t>e4d0e031-cded-4f40-8d08-d42d7736fd17</t>
  </si>
  <si>
    <t>Jessica Lee</t>
  </si>
  <si>
    <t>95f8f10d-b073-4c1a-9626-11a4944f486c</t>
  </si>
  <si>
    <t>John Stephens</t>
  </si>
  <si>
    <t>7411d34c-a42e-43b4-b844-7b027bd370f2</t>
  </si>
  <si>
    <t>Jason Adams</t>
  </si>
  <si>
    <t>1f608dac-a1dc-4543-a9a4-c477d2ca96dc</t>
  </si>
  <si>
    <t>Xavier Schneider</t>
  </si>
  <si>
    <t>6e133629-a5f3-41c5-b50d-6a6b9430397d</t>
  </si>
  <si>
    <t>Peggy Stokes</t>
  </si>
  <si>
    <t>977c8b3d-bc80-4334-a270-13d02b5c3c97</t>
  </si>
  <si>
    <t>Nicholas Gill</t>
  </si>
  <si>
    <t>744dd4cf-9df0-45e0-b002-fdf71b3bd262</t>
  </si>
  <si>
    <t>Hector Arias</t>
  </si>
  <si>
    <t>9caf3002-6f42-415e-8b4d-39ee09a5b925</t>
  </si>
  <si>
    <t>Robert Thornton</t>
  </si>
  <si>
    <t>399c8f9f-a88c-4f94-ae8e-261e3d244731</t>
  </si>
  <si>
    <t>Elizabeth Allen</t>
  </si>
  <si>
    <t>26a7e264-7e6f-4219-a762-7d021f81df09</t>
  </si>
  <si>
    <t>Christopher Barber</t>
  </si>
  <si>
    <t>ddd7f429-34bb-4b89-9a0d-2b25cc5f1150</t>
  </si>
  <si>
    <t>David Navarro</t>
  </si>
  <si>
    <t>6199150c-26ef-42b1-8d9b-41f09e5879f7</t>
  </si>
  <si>
    <t>Ashlee Bush</t>
  </si>
  <si>
    <t>3f7e62c8-fa87-4ec9-a5d0-4c973e1252b7</t>
  </si>
  <si>
    <t>Michael Baker</t>
  </si>
  <si>
    <t>1b2f8fd3-8d39-4a83-9c22-7edf1b0b619f</t>
  </si>
  <si>
    <t>Christy Kim</t>
  </si>
  <si>
    <t>1093f02a-9281-4612-af16-873ee070c8a2</t>
  </si>
  <si>
    <t>Dr. Kayla Garcia</t>
  </si>
  <si>
    <t>a14aaab7-0712-4089-b468-a16dc4ded9b8</t>
  </si>
  <si>
    <t>Jason Daniels</t>
  </si>
  <si>
    <t>90636261-03c9-4d04-90a1-f67543933fc1</t>
  </si>
  <si>
    <t>Christopher Gray</t>
  </si>
  <si>
    <t>cc192172-6ed7-4dfa-8066-8ec9715abbd8</t>
  </si>
  <si>
    <t>Cheyenne Hanson</t>
  </si>
  <si>
    <t>df0c29ed-c260-4424-8e1f-af83a79dce34</t>
  </si>
  <si>
    <t>Pamela Brown</t>
  </si>
  <si>
    <t>d3217813-0965-48c7-a6e6-791552f3d2bd</t>
  </si>
  <si>
    <t>Kelly Henderson</t>
  </si>
  <si>
    <t>c5f11786-656f-4a2f-938b-64f7b88c4dc1</t>
  </si>
  <si>
    <t>Thomas Perez</t>
  </si>
  <si>
    <t>ec46d784-abc2-46d3-8164-c04f8d11b2fa</t>
  </si>
  <si>
    <t>Matthew Reynolds</t>
  </si>
  <si>
    <t>c3580160-e2d6-446c-9e8c-73660a2cf683</t>
  </si>
  <si>
    <t>Amber Hancock</t>
  </si>
  <si>
    <t>93ca6215-3c58-47e2-9647-7e0fa744a135</t>
  </si>
  <si>
    <t>Robert Francis</t>
  </si>
  <si>
    <t>e04c8819-cca4-42fb-8ba8-e43b19bdea8a</t>
  </si>
  <si>
    <t>Jessica Fitzgerald</t>
  </si>
  <si>
    <t>b86853e7-b4b0-44f7-a5e4-b735be42da28</t>
  </si>
  <si>
    <t>Started on antibiotics to treat infection.</t>
  </si>
  <si>
    <t>1c9695c2-783a-4734-9b09-7ceea4530878</t>
  </si>
  <si>
    <t>Heather Duncan</t>
  </si>
  <si>
    <t>f0b4a467-1d39-4ffa-8d19-f7b98109bdf1</t>
  </si>
  <si>
    <t>Alicia Jones</t>
  </si>
  <si>
    <t>dee009b8-2628-4956-9156-3807da02030a</t>
  </si>
  <si>
    <t>Angela Mills</t>
  </si>
  <si>
    <t>Ice</t>
  </si>
  <si>
    <t>10d3941b-895f-42b2-b1de-e689575da2a8</t>
  </si>
  <si>
    <t>Christine Garcia</t>
  </si>
  <si>
    <t>d24f67ec-5a61-4efd-b290-a445de8c5283</t>
  </si>
  <si>
    <t>Christopher Obrien</t>
  </si>
  <si>
    <t>a2ad7e73-8c55-4065-ad39-8dd0a57c0dc0</t>
  </si>
  <si>
    <t>Lauren Anderson</t>
  </si>
  <si>
    <t>b846b535-a8df-4948-bfa2-fef065e25c2d</t>
  </si>
  <si>
    <t>Jennifer Gomez</t>
  </si>
  <si>
    <t>b9d7d346-5446-4a7a-8518-092fec1136e1</t>
  </si>
  <si>
    <t>Ana Hayes</t>
  </si>
  <si>
    <t>2d524e8d-2156-4714-a053-5e40ff76e0f1</t>
  </si>
  <si>
    <t>Sylvia Watts</t>
  </si>
  <si>
    <t>3e50e91c-2843-428b-aa98-65a957d551b7</t>
  </si>
  <si>
    <t>Kimberly Gay</t>
  </si>
  <si>
    <t>b25866fc-078a-47c3-8317-b9497a6e628b</t>
  </si>
  <si>
    <t>Jennifer Stone</t>
  </si>
  <si>
    <t>787ae9e6-245c-4870-878b-d2fd95688ff0</t>
  </si>
  <si>
    <t>Lisa Jackson</t>
  </si>
  <si>
    <t>c51a5f53-c94a-4f91-a9b2-a203cd2b64d1</t>
  </si>
  <si>
    <t>Sarah Andersen</t>
  </si>
  <si>
    <t>e749448d-b264-42f8-807a-08987bd71060</t>
  </si>
  <si>
    <t>Autumn Pearson</t>
  </si>
  <si>
    <t>d6e40b36-779b-48ae-9371-1a1a08f00cb9</t>
  </si>
  <si>
    <t>Karen Daniel</t>
  </si>
  <si>
    <t>Cough Medicine</t>
  </si>
  <si>
    <t>9f0b5820-6e2d-42ee-b467-c14dfe3361aa</t>
  </si>
  <si>
    <t>Daniel Freeman</t>
  </si>
  <si>
    <t>fdad6477-a5b8-4bcd-ac07-6120affbcd0b</t>
  </si>
  <si>
    <t>Charles Lucero</t>
  </si>
  <si>
    <t>0e4406c5-fcfb-43f6-b536-a2985704ba65</t>
  </si>
  <si>
    <t>Felicia Morales</t>
  </si>
  <si>
    <t>df6984cf-6b08-4fdf-882e-eac79d2468e5</t>
  </si>
  <si>
    <t>John Day</t>
  </si>
  <si>
    <t>478f2ee5-4cad-4c7c-b4f9-a936a6e04597</t>
  </si>
  <si>
    <t>Jim Hall</t>
  </si>
  <si>
    <t>68aa6ab9-923f-4c67-9f8b-2b250b930809</t>
  </si>
  <si>
    <t>Matthew Henry</t>
  </si>
  <si>
    <t>38174cd3-246e-4ec3-8cc1-f2d5774db7df</t>
  </si>
  <si>
    <t>Johnny Taylor</t>
  </si>
  <si>
    <t>4fc5683e-d3d3-4a73-83f3-b801e5cdae97</t>
  </si>
  <si>
    <t>Amber Bailey</t>
  </si>
  <si>
    <t>297a0016-8ce9-4276-9742-78677411b3d5</t>
  </si>
  <si>
    <t>Beth Leblanc</t>
  </si>
  <si>
    <t>7e299f04-1cae-4ed0-bbf5-82fb3ea4801a</t>
  </si>
  <si>
    <t>William Estrada</t>
  </si>
  <si>
    <t>4a0029f7-df5a-47ab-afeb-4a8c6c5be808</t>
  </si>
  <si>
    <t>Tiffany Clark</t>
  </si>
  <si>
    <t>3cbd1209-ca6e-459f-b1b0-5587faf93e39</t>
  </si>
  <si>
    <t>Madison Powell</t>
  </si>
  <si>
    <t>9145197d-674a-4c1a-85af-04f6e5ef24d0</t>
  </si>
  <si>
    <t>Douglas Carter</t>
  </si>
  <si>
    <t>3b24ae17-2f54-4fc7-bcb0-b5d74f1e27e6</t>
  </si>
  <si>
    <t>Bruce Reed</t>
  </si>
  <si>
    <t>d2de225e-e1f1-459e-90ee-3f6f9b3c50e0</t>
  </si>
  <si>
    <t>Kelly Perez</t>
  </si>
  <si>
    <t>94e391b9-f37d-4e88-902c-0ab3551949bb</t>
  </si>
  <si>
    <t>Jon Bishop</t>
  </si>
  <si>
    <t>5b7aba80-dd70-4c0c-ba05-174e5e1f212a</t>
  </si>
  <si>
    <t>Steven Castillo</t>
  </si>
  <si>
    <t>6db0cb06-f633-4b7c-95df-21b3d3dde459</t>
  </si>
  <si>
    <t>Keith Cox</t>
  </si>
  <si>
    <t>c815af1f-e407-432b-bacb-59c29d538335</t>
  </si>
  <si>
    <t>Wanda Daugherty</t>
  </si>
  <si>
    <t>55675a07-9e2b-41af-a0c3-86a024e8ba80</t>
  </si>
  <si>
    <t>Jessica Shields</t>
  </si>
  <si>
    <t>92928a2c-4c39-4120-ade1-25a01c37500b</t>
  </si>
  <si>
    <t>Daniel Mora</t>
  </si>
  <si>
    <t>aebfb842-1405-4c28-aa6a-d018239c8493</t>
  </si>
  <si>
    <t>Joseph Moran</t>
  </si>
  <si>
    <t>b42072c3-0daa-4c11-8111-4f5724e639b6</t>
  </si>
  <si>
    <t>Ashley Mueller MD</t>
  </si>
  <si>
    <t>3cc3c029-e319-44f8-a340-ef4e6499a727</t>
  </si>
  <si>
    <t>Shawn Murray</t>
  </si>
  <si>
    <t>ed79652b-1eef-4e04-8e4b-1a0649d08e5a</t>
  </si>
  <si>
    <t>Brian Browning</t>
  </si>
  <si>
    <t>d65a83b3-0124-4bba-9633-273ce061d0ba</t>
  </si>
  <si>
    <t>Tracy Harvey MD</t>
  </si>
  <si>
    <t>aba865b1-5818-4719-9bd5-2ff902292a0a</t>
  </si>
  <si>
    <t>Angela Hawkins</t>
  </si>
  <si>
    <t>a0edfd81-490a-4c7e-a119-d3453049ea80</t>
  </si>
  <si>
    <t>Julie Moore</t>
  </si>
  <si>
    <t>0c249057-1bdd-49d8-9792-a7f0e8183cd2</t>
  </si>
  <si>
    <t>Richard Knox</t>
  </si>
  <si>
    <t>08adda26-c2ee-42d9-9ef9-8014ff0e0b04</t>
  </si>
  <si>
    <t>Brandon James</t>
  </si>
  <si>
    <t>6818856a-cf11-4ca8-a7d8-b385bea45a20</t>
  </si>
  <si>
    <t>Mackenzie Sanchez</t>
  </si>
  <si>
    <t>f483b84c-b5d2-48dc-85fc-b51826ec2273</t>
  </si>
  <si>
    <t>John Thomas</t>
  </si>
  <si>
    <t>7df5fb64-6059-4fc7-8a5b-d18a290ffd03</t>
  </si>
  <si>
    <t>Mario Ellison</t>
  </si>
  <si>
    <t>93096cc2-89ca-45f7-b14d-f681eb1a1f0b</t>
  </si>
  <si>
    <t>Robin Weaver</t>
  </si>
  <si>
    <t>bf020b0d-3391-40f7-aa75-8c7641829fd4</t>
  </si>
  <si>
    <t>Amanda Ramos</t>
  </si>
  <si>
    <t>84747c4a-19e5-4844-bcf7-60f79cf12ab9</t>
  </si>
  <si>
    <t>Kimberly Johnson</t>
  </si>
  <si>
    <t>98dd0d9d-b3fc-4fca-a086-d17f58aaddd6</t>
  </si>
  <si>
    <t>Amanda Rodriguez</t>
  </si>
  <si>
    <t>ee00b8df-dee0-467a-a75b-d08ee93a481e</t>
  </si>
  <si>
    <t>Diane Williams</t>
  </si>
  <si>
    <t>eb906ae7-b89c-4b41-851e-69965442a0aa</t>
  </si>
  <si>
    <t>Charles Smith</t>
  </si>
  <si>
    <t>d61f0a3c-10d9-4c14-8fc5-03f2be41fb15</t>
  </si>
  <si>
    <t>James Gutierrez</t>
  </si>
  <si>
    <t>7bb2d8ef-cde0-449b-b5b7-6debba767066</t>
  </si>
  <si>
    <t>Christopher Harding</t>
  </si>
  <si>
    <t>65041e6b-a6b2-4168-b66d-24b0c6b40409</t>
  </si>
  <si>
    <t>Andrea George</t>
  </si>
  <si>
    <t>df4f8ee0-a9e2-47c2-b7da-cedb87a53664</t>
  </si>
  <si>
    <t>Charles Gross</t>
  </si>
  <si>
    <t>8890be68-1b55-4f89-b030-771f39d6e223</t>
  </si>
  <si>
    <t>Kevin Carlson</t>
  </si>
  <si>
    <t>16279482-d821-4d3f-93d5-cccfb73b0600</t>
  </si>
  <si>
    <t>Eric Jones</t>
  </si>
  <si>
    <t>5051bdfd-ae9e-4c16-9dae-31fdc03c71dc</t>
  </si>
  <si>
    <t>Emily Edwards</t>
  </si>
  <si>
    <t>7a1f6e05-838b-483e-8b68-407a8fae4e32</t>
  </si>
  <si>
    <t>Tyler Hughes</t>
  </si>
  <si>
    <t>5d4cd120-9b7e-4b1e-b303-7a128aefd9fe</t>
  </si>
  <si>
    <t>Tammy Cook</t>
  </si>
  <si>
    <t>66e07bb0-db71-4bbe-b31e-0de29739db96</t>
  </si>
  <si>
    <t>Travis Daniel</t>
  </si>
  <si>
    <t>d98bd7fd-6b55-4572-ba87-6bf39bea620f</t>
  </si>
  <si>
    <t>Theresa Crawford</t>
  </si>
  <si>
    <t>96658828-7acc-4957-ae0a-9d71786846a9</t>
  </si>
  <si>
    <t>Jillian Sosa</t>
  </si>
  <si>
    <t>6326bb78-cb5d-47fc-b90a-25618cade060</t>
  </si>
  <si>
    <t>Thomas Kennedy</t>
  </si>
  <si>
    <t>e5efda46-34b1-4d3d-9f1e-9c7316299c37</t>
  </si>
  <si>
    <t>Krista Sanchez</t>
  </si>
  <si>
    <t>8b61de24-e83f-48fc-9096-79a51913f26e</t>
  </si>
  <si>
    <t>Joshua Bray</t>
  </si>
  <si>
    <t>720fdd0c-897d-4b95-8278-9898f9436484</t>
  </si>
  <si>
    <t>Jill Duncan</t>
  </si>
  <si>
    <t>8de4c238-3c60-43a2-86f9-d25683c484c7</t>
  </si>
  <si>
    <t>Duane Rodriguez</t>
  </si>
  <si>
    <t>77e0e5d2-7db8-4993-bba2-13b1dc1996c4</t>
  </si>
  <si>
    <t>Alan Hester</t>
  </si>
  <si>
    <t>b1a13982-5183-4659-b20f-67f90d4c92a2</t>
  </si>
  <si>
    <t>Maria Lucas</t>
  </si>
  <si>
    <t>6357a2ce-218c-4bf7-9bdf-5f7f66917488</t>
  </si>
  <si>
    <t>Catherine Haney</t>
  </si>
  <si>
    <t>4adc8377-37ba-4b8a-b090-8ae264433199</t>
  </si>
  <si>
    <t>Charles Clark</t>
  </si>
  <si>
    <t>c8d89d81-2ff9-4d6a-a28c-1b4c0c64d83c</t>
  </si>
  <si>
    <t>Antonio Garza</t>
  </si>
  <si>
    <t>41f4b222-e7f2-4bfd-9fde-5c6abf20a302</t>
  </si>
  <si>
    <t>Jennifer Harris</t>
  </si>
  <si>
    <t>af81b52d-1a44-4620-80b7-086c6ca79f70</t>
  </si>
  <si>
    <t>Christine Robinson</t>
  </si>
  <si>
    <t>a0883235-33be-48bc-a7a6-e18d535f1398</t>
  </si>
  <si>
    <t>Hannah Sanchez</t>
  </si>
  <si>
    <t>e27c0bab-07fa-48c7-b9d3-332c6641b9b1</t>
  </si>
  <si>
    <t>Desiree Novak</t>
  </si>
  <si>
    <t>04ec9d7d-23ba-4a60-a12c-b8f69ef4889a</t>
  </si>
  <si>
    <t>Stephanie Murphy</t>
  </si>
  <si>
    <t>afdd65d4-1d1e-4030-a272-263dfa537338</t>
  </si>
  <si>
    <t>Denise House</t>
  </si>
  <si>
    <t>d5d010ba-0fd1-4ef8-8040-fefdc5555b41</t>
  </si>
  <si>
    <t>Patricia Boone</t>
  </si>
  <si>
    <t>d5b736d0-d8d2-486e-9c2e-caf979af8bdf</t>
  </si>
  <si>
    <t>Angela Flores</t>
  </si>
  <si>
    <t>82d3f1a8-9127-4fb1-8975-31590b917e5c</t>
  </si>
  <si>
    <t>Christina Moore</t>
  </si>
  <si>
    <t>e9a65edf-c7c8-4abb-96a9-fad105724257</t>
  </si>
  <si>
    <t>Laura Walter</t>
  </si>
  <si>
    <t>020e69db-e796-43d3-bf35-9ffa4a996889</t>
  </si>
  <si>
    <t>Cheryl Skinner</t>
  </si>
  <si>
    <t>1eef37a0-d3ab-40ee-89f9-aad92ad1908e</t>
  </si>
  <si>
    <t>Kaitlin Hansen</t>
  </si>
  <si>
    <t>3ee70b1c-a6db-4919-91ed-984054adfc71</t>
  </si>
  <si>
    <t>Anthony Bryan</t>
  </si>
  <si>
    <t>454e02cb-37f3-41ab-a908-2c2b9aa9f44d</t>
  </si>
  <si>
    <t>Jerry Bullock</t>
  </si>
  <si>
    <t>42a1698e-a047-499e-874b-3dcb9d5dcfa2</t>
  </si>
  <si>
    <t>David Whitehead</t>
  </si>
  <si>
    <t>9da3ffd2-b27b-4e63-921c-2cc4b370c061</t>
  </si>
  <si>
    <t>Courtney Cook</t>
  </si>
  <si>
    <t>31289361-4ffe-4e44-91df-b719435286b8</t>
  </si>
  <si>
    <t>Brian May</t>
  </si>
  <si>
    <t>c7c7c8fd-e890-4839-9256-a03c58ef8ac9</t>
  </si>
  <si>
    <t>Charles Clarke</t>
  </si>
  <si>
    <t>2c4c0dad-96f5-430f-8579-1b83d3e8aa04</t>
  </si>
  <si>
    <t>Cameron Cooper</t>
  </si>
  <si>
    <t>6c34f90f-ae0d-44c0-b5b9-acfa1e78b46d</t>
  </si>
  <si>
    <t>Kenneth Horn</t>
  </si>
  <si>
    <t>c699a543-f050-426a-b13b-16417363197c</t>
  </si>
  <si>
    <t>Ellen Walker</t>
  </si>
  <si>
    <t>6eef2241-96f6-43c7-af89-c0a1cf9dbe8b</t>
  </si>
  <si>
    <t>Jennifer Wolfe</t>
  </si>
  <si>
    <t>b39ea9cf-ea0c-42df-938e-a94014ed40c7</t>
  </si>
  <si>
    <t>Joshua Kidd</t>
  </si>
  <si>
    <t>3758b02b-920b-460f-bc02-c30fcdd28ce2</t>
  </si>
  <si>
    <t>Rebecca Stevenson</t>
  </si>
  <si>
    <t>c5e18e48-1ff1-4209-9d65-42c81674b669</t>
  </si>
  <si>
    <t>Christopher Garcia</t>
  </si>
  <si>
    <t>7c492bab-c296-4e24-9916-a0ec05c68edb</t>
  </si>
  <si>
    <t>Olivia Miller</t>
  </si>
  <si>
    <t>69e5cab7-0543-40f3-91db-24f32fa34d33</t>
  </si>
  <si>
    <t>4e7edd8d-b666-4b41-8bb0-df367f9c7d69</t>
  </si>
  <si>
    <t>Richard Johnson</t>
  </si>
  <si>
    <t>b85bd9c6-5ce1-46b5-8f6f-c00f3a7c5e28</t>
  </si>
  <si>
    <t>efe1232d-b7d1-44a0-84af-be1faf377d3f</t>
  </si>
  <si>
    <t>Steven Haley</t>
  </si>
  <si>
    <t>f929577d-e5c5-44ec-8c61-aaec2ce2d231</t>
  </si>
  <si>
    <t>Randy Johnson</t>
  </si>
  <si>
    <t>dacab2f9-c27b-4911-9e6b-a6d64bf0728c</t>
  </si>
  <si>
    <t>Antonio Ferguson</t>
  </si>
  <si>
    <t>720a3a8a-5340-4e63-8c42-105adc72486c</t>
  </si>
  <si>
    <t>Brooke Miller</t>
  </si>
  <si>
    <t>79ebd281-a4ea-43ca-80a0-939e33f6555e</t>
  </si>
  <si>
    <t>Mark Gomez</t>
  </si>
  <si>
    <t>0170b5eb-87bf-46ba-9fea-afe5fc86b47a</t>
  </si>
  <si>
    <t>Kristen Hill DDS</t>
  </si>
  <si>
    <t>bfd99b50-69b5-4c25-b7e1-f47ecc133890</t>
  </si>
  <si>
    <t>Laura Hill</t>
  </si>
  <si>
    <t>e29a7c21-21e4-470f-a46f-7d95a622150b</t>
  </si>
  <si>
    <t>Russell Kelley</t>
  </si>
  <si>
    <t>adfe3bad-8c26-4e27-8f6e-9741bfed14ff</t>
  </si>
  <si>
    <t>Megan Waters</t>
  </si>
  <si>
    <t>139eeba3-992a-48da-b97e-6d2ae229957d</t>
  </si>
  <si>
    <t>Heather Vargas</t>
  </si>
  <si>
    <t>2518beb3-0b40-42e3-9984-6e60fc6aaf06</t>
  </si>
  <si>
    <t>James Morgan</t>
  </si>
  <si>
    <t>ef85177f-f933-4f60-aefe-6979e35c709a</t>
  </si>
  <si>
    <t>Rachel Perez</t>
  </si>
  <si>
    <t>0e32cdae-887c-4888-93af-39cdf86507ed</t>
  </si>
  <si>
    <t>Allen Kennedy</t>
  </si>
  <si>
    <t>f503be99-a773-4215-9e0e-6c20591ad64e</t>
  </si>
  <si>
    <t>Chad Schroeder DDS</t>
  </si>
  <si>
    <t>12d1e486-3cc5-4b71-b501-c2209f83dbc0</t>
  </si>
  <si>
    <t>Calvin Alexander</t>
  </si>
  <si>
    <t>f8addd8b-fd12-4c53-a652-6732496395c4</t>
  </si>
  <si>
    <t>Stacy Williams</t>
  </si>
  <si>
    <t>8c1329b5-59e6-4116-954a-88ca9cf6e7e8</t>
  </si>
  <si>
    <t>James Foster</t>
  </si>
  <si>
    <t>8007c165-af68-419c-b7dc-79c9fcc7798f</t>
  </si>
  <si>
    <t>Brenda Peterson</t>
  </si>
  <si>
    <t>83da638a-99fe-48ef-bab3-9c3d2560caaa</t>
  </si>
  <si>
    <t>Melanie Bradshaw</t>
  </si>
  <si>
    <t>3c2c167f-d640-4c1d-99d5-0c922198f022</t>
  </si>
  <si>
    <t>Scott Morrison</t>
  </si>
  <si>
    <t>18a136c5-6b69-4fd8-a717-3030cf183a4e</t>
  </si>
  <si>
    <t>Heather Walker</t>
  </si>
  <si>
    <t>89ac0664-a479-400e-8ea5-544d5c72c412</t>
  </si>
  <si>
    <t>Michael Webb</t>
  </si>
  <si>
    <t>7d3d15db-fd0e-42f5-811b-60c5fceb8249</t>
  </si>
  <si>
    <t>Shelly Burnett</t>
  </si>
  <si>
    <t>5cb11692-ae91-4bc1-baf2-38449ac9c28f</t>
  </si>
  <si>
    <t>Jamie Wright</t>
  </si>
  <si>
    <t>c0394d74-81c7-426e-8627-edcf96c61e59</t>
  </si>
  <si>
    <t>William Manning</t>
  </si>
  <si>
    <t>15f45b7c-1fbe-4bf5-85a3-36accea7f825</t>
  </si>
  <si>
    <t>Brett Buckley</t>
  </si>
  <si>
    <t>f08409ff-4f09-4700-8459-214b77d639f6</t>
  </si>
  <si>
    <t>Alexander Kelly</t>
  </si>
  <si>
    <t>926da6f4-6393-467b-920a-2d25d3c6059c</t>
  </si>
  <si>
    <t>Kevin Leblanc</t>
  </si>
  <si>
    <t>a9f418b3-2657-4c62-a2ad-29d6cbd9549a</t>
  </si>
  <si>
    <t>Cynthia Cook</t>
  </si>
  <si>
    <t>e13ba45c-c8b9-4159-b3dc-8381b2a7c8f2</t>
  </si>
  <si>
    <t>Toni Ross</t>
  </si>
  <si>
    <t>263b5bd2-be19-4d07-a54b-afce09506604</t>
  </si>
  <si>
    <t>Stephanie Mcdowell</t>
  </si>
  <si>
    <t>d00ed138-4b26-4364-8259-4c9f9ac14db5</t>
  </si>
  <si>
    <t>Donna Gardner</t>
  </si>
  <si>
    <t>06bd122e-c961-4271-a44a-1b001cd28bc3</t>
  </si>
  <si>
    <t>John Williams</t>
  </si>
  <si>
    <t>c6abf0dd-ae38-4434-b55f-f18689caca7a</t>
  </si>
  <si>
    <t>Lucas Paul</t>
  </si>
  <si>
    <t>3a8addcb-c665-47ce-bd77-85cda775699b</t>
  </si>
  <si>
    <t>Sarah Taylor</t>
  </si>
  <si>
    <t>7e871717-f3bb-4900-8c82-2707e2f0763f</t>
  </si>
  <si>
    <t>Charles Cooper</t>
  </si>
  <si>
    <t>0893db29-4e66-4c90-b7fe-638135bf5ae6</t>
  </si>
  <si>
    <t>Courtney Lopez</t>
  </si>
  <si>
    <t>3aa7d111-53ac-4c17-aeb9-2737328ffe38</t>
  </si>
  <si>
    <t>Sarah Horton</t>
  </si>
  <si>
    <t>906091a8-4349-49a3-9bfb-60639b4080df</t>
  </si>
  <si>
    <t>Kevin Ortiz</t>
  </si>
  <si>
    <t>848ca2d3-9cdd-4a06-86ec-7c9790169084</t>
  </si>
  <si>
    <t>Alyssa Cross</t>
  </si>
  <si>
    <t>ba0554f1-ba03-4e46-b43f-309fee0680ed</t>
  </si>
  <si>
    <t>Kenneth Murphy</t>
  </si>
  <si>
    <t>35a5e232-287b-47b4-a06e-2e644a254366</t>
  </si>
  <si>
    <t>James Williams</t>
  </si>
  <si>
    <t>b5d05d69-fc85-498d-a503-b5d9621f07fd</t>
  </si>
  <si>
    <t>Lisa Obrien</t>
  </si>
  <si>
    <t>d6a92bf0-b93c-48e2-95f1-50f4a9e9c2e6</t>
  </si>
  <si>
    <t>Susan Koch</t>
  </si>
  <si>
    <t>72fdbeb5-f522-4388-b5eb-52870bfc4739</t>
  </si>
  <si>
    <t>Vanessa Burgess</t>
  </si>
  <si>
    <t>74f1e2d1-0bfe-47d6-b5d6-2ab4c0fd1d48</t>
  </si>
  <si>
    <t>Barbara Gibson</t>
  </si>
  <si>
    <t>3a00f90a-962c-4171-9650-beb4e20ecc25</t>
  </si>
  <si>
    <t>Kevin Thompson</t>
  </si>
  <si>
    <t>7b6a962b-090e-4db2-aaa4-68089733732e</t>
  </si>
  <si>
    <t>Rebecca Kane</t>
  </si>
  <si>
    <t>a4f7b0c7-5e10-4f15-958a-a9ebe36ec899</t>
  </si>
  <si>
    <t>Jeremy Moses</t>
  </si>
  <si>
    <t>125b327b-a770-472d-96a1-07e61fe7c01f</t>
  </si>
  <si>
    <t>Amber Aguirre</t>
  </si>
  <si>
    <t>a759a3ff-deee-4161-92a2-593c0426b3a2</t>
  </si>
  <si>
    <t>Tamara Gomez</t>
  </si>
  <si>
    <t>81423dd0-58ba-4b4a-a73d-761e8c9f1539</t>
  </si>
  <si>
    <t>Nicholas Newman</t>
  </si>
  <si>
    <t>b839c1b8-16a8-41f2-8e7d-77849028d58c</t>
  </si>
  <si>
    <t>Laura Hughes</t>
  </si>
  <si>
    <t>a0fbd8a7-c428-4c91-8c50-2c63370d2f01</t>
  </si>
  <si>
    <t>Whitney Matthews DVM</t>
  </si>
  <si>
    <t>7674e861-d7ad-438f-9257-41116bff61f0</t>
  </si>
  <si>
    <t>Laura Allen</t>
  </si>
  <si>
    <t>e6875809-6edc-4e62-b1ae-c10c36d5c5a1</t>
  </si>
  <si>
    <t>Kimberly Walker</t>
  </si>
  <si>
    <t>3cf7cc92-ec45-4738-8d34-654a640079bb</t>
  </si>
  <si>
    <t>Mr. Scott Bowen</t>
  </si>
  <si>
    <t>3bbfd674-f8c6-49f1-8e24-ea56404c0082</t>
  </si>
  <si>
    <t>Wesley Mayo</t>
  </si>
  <si>
    <t>81c3305a-d979-4801-a96c-80936035978b</t>
  </si>
  <si>
    <t>Travis Sanchez</t>
  </si>
  <si>
    <t>7157906c-80c7-4f91-8516-4d00d6825061</t>
  </si>
  <si>
    <t>Andrew Taylor</t>
  </si>
  <si>
    <t>03540ba8-2e0b-42df-a7eb-cfef4ace60b7</t>
  </si>
  <si>
    <t>Angel Roman</t>
  </si>
  <si>
    <t>96678228-1329-494f-b18e-204d8bb1571f</t>
  </si>
  <si>
    <t>Karen Wilson</t>
  </si>
  <si>
    <t>58778757-e19f-4fe0-8a80-5655e8078e9a</t>
  </si>
  <si>
    <t>Elizabeth Miller</t>
  </si>
  <si>
    <t>f942053c-a613-451f-baa7-7a9f4cca2952</t>
  </si>
  <si>
    <t>Marc Allen</t>
  </si>
  <si>
    <t>e6c144f0-d4a1-4cb1-8ef0-7ecd3789195a</t>
  </si>
  <si>
    <t>Tonya Bradley</t>
  </si>
  <si>
    <t>3efdd64c-6f4f-458a-b6ba-e8f11ec1424d</t>
  </si>
  <si>
    <t>Ashley Winters</t>
  </si>
  <si>
    <t>6f37b73c-c576-483e-a773-8f9d49d33b95</t>
  </si>
  <si>
    <t>James Thomas</t>
  </si>
  <si>
    <t>b3e4ad9e-9cad-4c26-b1c2-17082f00e570</t>
  </si>
  <si>
    <t>George Walker</t>
  </si>
  <si>
    <t>5d4f4dbb-3eeb-4e5c-b7cf-b229e1022156</t>
  </si>
  <si>
    <t>Renee Little</t>
  </si>
  <si>
    <t>7b0f1424-1387-4e93-8447-e08d1f77fd9f</t>
  </si>
  <si>
    <t>de57772b-75c3-4325-ab3b-32d059d82e8e</t>
  </si>
  <si>
    <t>Lawrence Morris</t>
  </si>
  <si>
    <t>1c969cfc-5cbe-4c26-a001-c6c6fac3ea26</t>
  </si>
  <si>
    <t>Ryan Campos</t>
  </si>
  <si>
    <t>a1cc72be-cc2f-48c5-891c-60059b5d139d</t>
  </si>
  <si>
    <t>Kimberly Kim</t>
  </si>
  <si>
    <t>6cbd143b-bfd0-4b75-b9d7-100939942775</t>
  </si>
  <si>
    <t>Nicholas Wood</t>
  </si>
  <si>
    <t>04a814bc-4ab0-4c2b-a1c9-47193efa6617</t>
  </si>
  <si>
    <t>Samuel Schneider</t>
  </si>
  <si>
    <t>f9126224-0fd4-4265-a3bd-04b99ab6ede2</t>
  </si>
  <si>
    <t>Cynthia Ramirez</t>
  </si>
  <si>
    <t>Monitor for any signs of dehydration.</t>
  </si>
  <si>
    <t>e018187a-b1e3-4a70-882d-d72475f9f5b2</t>
  </si>
  <si>
    <t>Andrew Evans</t>
  </si>
  <si>
    <t>6ec0dd32-8906-4882-83c5-a4c023cacb2d</t>
  </si>
  <si>
    <t>Michael Parrish</t>
  </si>
  <si>
    <t>3697acf3-4404-492c-bed1-8daaafccbfad</t>
  </si>
  <si>
    <t>Miguel Long</t>
  </si>
  <si>
    <t>1fb8ab59-c826-45a2-89c1-6b381aa7f9c4</t>
  </si>
  <si>
    <t>Kristen Campbell</t>
  </si>
  <si>
    <t>1f4e37df-307d-4f61-81bc-1d83998ccf1d</t>
  </si>
  <si>
    <t>Christine Hale</t>
  </si>
  <si>
    <t>6db1753e-82c4-4d54-825b-392360cb4311</t>
  </si>
  <si>
    <t>Pamela Berry MD</t>
  </si>
  <si>
    <t>f2c8f33f-c6c9-4c56-bf48-76a61c11af77</t>
  </si>
  <si>
    <t>Anthony Archer</t>
  </si>
  <si>
    <t>34288381-9194-46aa-8897-e7f782fdcf6c</t>
  </si>
  <si>
    <t>Casey Hunt</t>
  </si>
  <si>
    <t>34386a27-fcdb-4ca1-8314-68f328853a1a</t>
  </si>
  <si>
    <t>Mackenzie Ford</t>
  </si>
  <si>
    <t>e45e896e-7bcd-42e1-83c9-198d8ac66930</t>
  </si>
  <si>
    <t>Deborah Garcia</t>
  </si>
  <si>
    <t>f6c2bcc2-9489-4c44-b0a5-9259076c5849</t>
  </si>
  <si>
    <t>Ashley Coleman</t>
  </si>
  <si>
    <t>10e5e0ff-c830-4e10-8628-f6cccaa94cb9</t>
  </si>
  <si>
    <t>Vanessa Hughes</t>
  </si>
  <si>
    <t>58db27d8-80d2-4c22-8d93-aedb906b9076</t>
  </si>
  <si>
    <t>Nicholas Moreno</t>
  </si>
  <si>
    <t>a3841300-08a9-4337-892a-7d021e7a900e</t>
  </si>
  <si>
    <t>Brooke Moore</t>
  </si>
  <si>
    <t>f13315d1-249b-4050-9711-d0bbd28eee4e</t>
  </si>
  <si>
    <t>Matthew Zimmerman</t>
  </si>
  <si>
    <t>417775e4-e3e1-4dc8-82f4-d54843b13616</t>
  </si>
  <si>
    <t>Abigail Rios</t>
  </si>
  <si>
    <t>b96e6a9b-3022-401f-a099-387affe859ac</t>
  </si>
  <si>
    <t>Sandra Wilson</t>
  </si>
  <si>
    <t>2ab7eae4-e652-4cc5-9d90-a99331aac5fd</t>
  </si>
  <si>
    <t>Lindsey Freeman</t>
  </si>
  <si>
    <t>bf2e8058-fc43-4cef-b0f4-ec91f9f2a08d</t>
  </si>
  <si>
    <t>Hannah Jones</t>
  </si>
  <si>
    <t>6f738a40-4d75-4054-8137-040f31c3d161</t>
  </si>
  <si>
    <t>John Miller</t>
  </si>
  <si>
    <t>d480299f-99f1-43fe-aabc-ce31e0710db9</t>
  </si>
  <si>
    <t>Tina Miranda</t>
  </si>
  <si>
    <t>829862ba-7428-4966-9d7c-ac6c4be5d110</t>
  </si>
  <si>
    <t>Rachel Johnson DDS</t>
  </si>
  <si>
    <t>4f1cefe6-4ba5-4646-8c3d-8c285232a12e</t>
  </si>
  <si>
    <t>Stephen West</t>
  </si>
  <si>
    <t>0150b509-1182-4ef2-849c-a11dd546332b</t>
  </si>
  <si>
    <t>Clayton Sparks</t>
  </si>
  <si>
    <t>d8e4f865-171b-460f-81c7-8746a4de0568</t>
  </si>
  <si>
    <t>Stephen Martin</t>
  </si>
  <si>
    <t>c68721d0-ccda-4b7e-93de-65d1e0e2d3d2</t>
  </si>
  <si>
    <t>Michael Johnson</t>
  </si>
  <si>
    <t>20ca5dbd-624e-49c4-9b31-c221e4c66eac</t>
  </si>
  <si>
    <t>Randall Harrison</t>
  </si>
  <si>
    <t>f476d1eb-b041-46fc-9ef5-bc91cbf5e60d</t>
  </si>
  <si>
    <t>Pamela Mcintosh</t>
  </si>
  <si>
    <t>93c49865-f3ab-4368-ab61-6beb35a8cc21</t>
  </si>
  <si>
    <t>William Fowler</t>
  </si>
  <si>
    <t>1b9bd056-2495-4436-85d3-dfc5563535a7</t>
  </si>
  <si>
    <t>Kimberly Freeman</t>
  </si>
  <si>
    <t>8a31887c-08fe-41d9-8a7d-3f5ac3594335</t>
  </si>
  <si>
    <t>Matthew Bowen</t>
  </si>
  <si>
    <t>ee48d196-e1fb-49ce-a2a8-5bdef4e5bbdb</t>
  </si>
  <si>
    <t>Stephanie Mitchell</t>
  </si>
  <si>
    <t>8480d3f2-150e-4ec5-b3ad-23c965d01dfe</t>
  </si>
  <si>
    <t>Duane Willis</t>
  </si>
  <si>
    <t>e0aabdd4-930e-4f52-bfaf-bc8b79049286</t>
  </si>
  <si>
    <t>38aebdcb-0964-4c0e-a99f-46340d464583</t>
  </si>
  <si>
    <t>Michelle Lopez</t>
  </si>
  <si>
    <t>9a935c38-fa81-4bc9-95c8-2d64731e176f</t>
  </si>
  <si>
    <t>Joe Bryant</t>
  </si>
  <si>
    <t>c28c50d3-d1f1-4540-a31c-d4c4e5b26107</t>
  </si>
  <si>
    <t>Sherry Jones</t>
  </si>
  <si>
    <t>7cc1c13b-c0b6-4bf6-bbaf-960e8e878d8b</t>
  </si>
  <si>
    <t>Catherine Jones</t>
  </si>
  <si>
    <t>b276f328-1794-4769-a9c1-0a3f7ff4f1fa</t>
  </si>
  <si>
    <t>Christopher Barker</t>
  </si>
  <si>
    <t>Allergies</t>
  </si>
  <si>
    <t>Antihistamines</t>
  </si>
  <si>
    <t>Advised to avoid known allergens.</t>
  </si>
  <si>
    <t>b12418a5-4102-47ce-b9c7-92d68304258a</t>
  </si>
  <si>
    <t>Lance Monroe</t>
  </si>
  <si>
    <t>Skin Infection</t>
  </si>
  <si>
    <t>Topical Antibiotics</t>
  </si>
  <si>
    <t>Advised to keep affected area clean and dry.</t>
  </si>
  <si>
    <t>d32b60d1-e60f-4ebf-9105-a3fc2c866007</t>
  </si>
  <si>
    <t>Brittany Richards</t>
  </si>
  <si>
    <t>Started on oral antibiotics for more severe infection.</t>
  </si>
  <si>
    <t>2fae4f0d-d207-4aac-957a-dbbb146fb30b</t>
  </si>
  <si>
    <t>James Middleton</t>
  </si>
  <si>
    <t>50ff88bb-1dca-4b66-9fec-9515848f14aa</t>
  </si>
  <si>
    <t>Loretta Perez MD</t>
  </si>
  <si>
    <t>140770e2-f230-4604-affd-dad85bad4f6d</t>
  </si>
  <si>
    <t>Cheryl Spencer</t>
  </si>
  <si>
    <t>63842f30-e865-4de4-86f4-2538020e0321</t>
  </si>
  <si>
    <t>Jessica Wood</t>
  </si>
  <si>
    <t>c23e1d5c-6c1f-4cb6-bdc0-7be1f9e2118c</t>
  </si>
  <si>
    <t>Thomas Nicholson</t>
  </si>
  <si>
    <t>55ecdda7-dd40-4173-89e7-5cba70b14358</t>
  </si>
  <si>
    <t>Laura Gonzales</t>
  </si>
  <si>
    <t>0205ebb6-b81b-4759-a61b-899291e5f878</t>
  </si>
  <si>
    <t>Bridget Williams</t>
  </si>
  <si>
    <t>74c6fd95-dbda-465e-888f-dab230f48fb0</t>
  </si>
  <si>
    <t>Debra Kim</t>
  </si>
  <si>
    <t>03fbceac-b8c2-4542-a1bd-35f861e2d36d</t>
  </si>
  <si>
    <t>Cynthia Johns</t>
  </si>
  <si>
    <t>Oral Antibiotics</t>
  </si>
  <si>
    <t>Prescribed topical antibiotics for local infection.</t>
  </si>
  <si>
    <t>b238cc65-967c-4c70-b93c-0e27d867941c</t>
  </si>
  <si>
    <t>Mr. Blake Buckley</t>
  </si>
  <si>
    <t>f6009fbb-0820-4d51-be18-4dcf36afa113</t>
  </si>
  <si>
    <t>Amy Wolfe</t>
  </si>
  <si>
    <t>287d96f8-f283-479d-905e-9d9a758a96e5</t>
  </si>
  <si>
    <t>Patricia Johnson</t>
  </si>
  <si>
    <t>58c3dc22-f62b-4b2b-bd8f-816ca1053ada</t>
  </si>
  <si>
    <t>Michele Porter</t>
  </si>
  <si>
    <t>dc1e604f-d23b-43e6-aa5b-278ff3aeb782</t>
  </si>
  <si>
    <t>Valerie Anderson</t>
  </si>
  <si>
    <t>98e75548-b935-49b8-a982-59d03f0e5da4</t>
  </si>
  <si>
    <t>Lisa Bond</t>
  </si>
  <si>
    <t>93b76011-c1e7-47dd-895f-ebd60dfc5b25</t>
  </si>
  <si>
    <t>Nicholas Martinez</t>
  </si>
  <si>
    <t>004fa9f9-89b7-40c7-b3d3-a9851971937d</t>
  </si>
  <si>
    <t>Donald Ramos</t>
  </si>
  <si>
    <t>2918e681-473b-4bfe-afce-82f06f4de077</t>
  </si>
  <si>
    <t>Janice Neal</t>
  </si>
  <si>
    <t>b558a6d0-a6b4-4c3f-9078-c15fb5e2d70a</t>
  </si>
  <si>
    <t>Morgan Jennings</t>
  </si>
  <si>
    <t>aa52f31a-7fc5-455a-9edc-e921f2e7b97e</t>
  </si>
  <si>
    <t>Kimberly Martin</t>
  </si>
  <si>
    <t>a0e2bab0-bf41-4ea1-8336-68b15c2bc683</t>
  </si>
  <si>
    <t>Patrick Watson</t>
  </si>
  <si>
    <t>e60a4e1e-4806-4073-a704-73539a2159b8</t>
  </si>
  <si>
    <t>Robert Taylor</t>
  </si>
  <si>
    <t>e92d3741-3534-4a5f-a9c3-b7c491417de3</t>
  </si>
  <si>
    <t>Jason Young</t>
  </si>
  <si>
    <t>f8df1eb2-7d29-4966-b92c-7368f4166c75</t>
  </si>
  <si>
    <t>Ariana Martin</t>
  </si>
  <si>
    <t>0e9e745a-03f8-4fef-ad26-f8e370dc0b14</t>
  </si>
  <si>
    <t>Katelyn Jackson</t>
  </si>
  <si>
    <t>f672a165-fc35-42a4-a389-6198df2d2068</t>
  </si>
  <si>
    <t>Miss Tonya Anderson</t>
  </si>
  <si>
    <t>60f693eb-a10f-4513-84f9-5952bdedbde2</t>
  </si>
  <si>
    <t>Kim Myers</t>
  </si>
  <si>
    <t>fe6aa127-3fb7-4428-8f19-23fa96ac2a9f</t>
  </si>
  <si>
    <t>Crystal Berry</t>
  </si>
  <si>
    <t>4aca09c5-3174-4687-9d96-d3990b451d04</t>
  </si>
  <si>
    <t>Grace Brown</t>
  </si>
  <si>
    <t>c4af47e4-81e8-4ac1-b33a-f60d9c6ad4b9</t>
  </si>
  <si>
    <t>Elizabeth Richardson</t>
  </si>
  <si>
    <t>9588d105-7bbc-4ebb-a5ab-2e23adbe56a8</t>
  </si>
  <si>
    <t>Jennifer Reyes</t>
  </si>
  <si>
    <t>72974db9-b5dd-433e-9f23-48c7755d9d39</t>
  </si>
  <si>
    <t>Emily Brown</t>
  </si>
  <si>
    <t>6a73bfc6-9133-465e-9f72-11f0fb007c9b</t>
  </si>
  <si>
    <t>Angie Meyer</t>
  </si>
  <si>
    <t>a85b2a5e-a6b4-41f9-9505-fbbb9cf9b577</t>
  </si>
  <si>
    <t>Jennifer Norris</t>
  </si>
  <si>
    <t>c0fb3fbf-3f77-40e2-aa7b-5c66e20a0ebf</t>
  </si>
  <si>
    <t>Pamela Marks MD</t>
  </si>
  <si>
    <t>Avoidance of Allergens</t>
  </si>
  <si>
    <t>c76d80ad-6927-4f63-8881-b297491840dd</t>
  </si>
  <si>
    <t>Alexander Kennedy</t>
  </si>
  <si>
    <t>9fd0ea73-76c1-47d0-9507-056072a89cdd</t>
  </si>
  <si>
    <t>Jo Rios</t>
  </si>
  <si>
    <t>Discussed potential for allergy testing.</t>
  </si>
  <si>
    <t>134adad0-2803-4d76-8dc3-18813a1c30d9</t>
  </si>
  <si>
    <t>Jamie Thompson</t>
  </si>
  <si>
    <t>effa888e-c13c-405c-9d07-ed3520e5b8f5</t>
  </si>
  <si>
    <t>Natasha Martin</t>
  </si>
  <si>
    <t>1480d4d6-85f2-4609-8dd3-b66e442496ed</t>
  </si>
  <si>
    <t>Jared Smith</t>
  </si>
  <si>
    <t>f1e12eb0-d89c-4eea-8b00-c15c41bd81a5</t>
  </si>
  <si>
    <t>Shawn Coleman</t>
  </si>
  <si>
    <t>d6e13c61-77a0-480b-a66f-54b753d05e4f</t>
  </si>
  <si>
    <t>Gregory Moore</t>
  </si>
  <si>
    <t>30fe1263-93f3-41a8-9744-4f0d3e04321e</t>
  </si>
  <si>
    <t>Albert Jones</t>
  </si>
  <si>
    <t>7c29f670-ce4d-47ad-a7a4-c4e0372a3a49</t>
  </si>
  <si>
    <t>Dr. Bradley Pierce</t>
  </si>
  <si>
    <t>05151506-39b2-4733-acad-76e474e1511b</t>
  </si>
  <si>
    <t>Drew Lucero</t>
  </si>
  <si>
    <t>493f35ee-cce0-4211-a574-37b0f3d33704</t>
  </si>
  <si>
    <t>Carl Chapman</t>
  </si>
  <si>
    <t>55447725-5cfc-4f8d-b224-878ccb7db19f</t>
  </si>
  <si>
    <t>Luis Blair</t>
  </si>
  <si>
    <t>92236d77-dd72-4ef7-b08d-e7ebef632713</t>
  </si>
  <si>
    <t>Christopher Jones</t>
  </si>
  <si>
    <t>Prescribed antihistamines for allergy relief.</t>
  </si>
  <si>
    <t>4366aced-07bf-48e2-beeb-279a7d10d451</t>
  </si>
  <si>
    <t>Lisa Rice</t>
  </si>
  <si>
    <t>2290d0d4-7ce7-4958-a522-7d0b4b94103d</t>
  </si>
  <si>
    <t>Michelle Thomas</t>
  </si>
  <si>
    <t>f01cd65e-f910-47de-9d95-5a40a311ab86</t>
  </si>
  <si>
    <t>Dr. Dana Burgess MD</t>
  </si>
  <si>
    <t>d8b00c9d-3b60-4ea2-95f7-5ab886c4f59d</t>
  </si>
  <si>
    <t>Ryan Baker</t>
  </si>
  <si>
    <t>c3e70ecd-b794-4e9e-8136-ccf4ff363fe0</t>
  </si>
  <si>
    <t>Robert Ross</t>
  </si>
  <si>
    <t>f6ceee18-d406-460e-af45-dd5f05175be2</t>
  </si>
  <si>
    <t>Erica Gibbs</t>
  </si>
  <si>
    <t>572e70db-bd90-4088-b132-39b461cbcba1</t>
  </si>
  <si>
    <t>Brooke Cardenas</t>
  </si>
  <si>
    <t>46e6c6f8-56c5-4c4a-a399-808c8ab3a450</t>
  </si>
  <si>
    <t>Jacob Welch</t>
  </si>
  <si>
    <t>a5e75ecc-1ced-495f-9be7-107392617369</t>
  </si>
  <si>
    <t>ec8f333c-62e7-459a-974a-2581354b0468</t>
  </si>
  <si>
    <t>Jerome Hamilton</t>
  </si>
  <si>
    <t>42c53d65-b15c-48f6-be13-176c4ac9b9fe</t>
  </si>
  <si>
    <t>Daniel Taylor</t>
  </si>
  <si>
    <t>71998e1e-9fca-4aad-bd44-a67b22cc9758</t>
  </si>
  <si>
    <t>Peter Ward</t>
  </si>
  <si>
    <t>e6fbd0dc-abee-4130-8aee-6b68eb6ff284</t>
  </si>
  <si>
    <t>David Parker</t>
  </si>
  <si>
    <t>16c3b1ba-c18a-48bf-b307-8160434f24e0</t>
  </si>
  <si>
    <t>Emily Cole</t>
  </si>
  <si>
    <t>8fa4a9b8-1829-4bbf-81e9-85d08353e8bb</t>
  </si>
  <si>
    <t>Norma Key</t>
  </si>
  <si>
    <t>b8849c31-1273-4b66-ae81-a5c4947af117</t>
  </si>
  <si>
    <t>Rita Hunt</t>
  </si>
  <si>
    <t>fe2457f7-4143-4557-8eaf-9426c54cff51</t>
  </si>
  <si>
    <t>Matthew Davis</t>
  </si>
  <si>
    <t>147a8254-a98b-4044-9ca2-fb7968113e64</t>
  </si>
  <si>
    <t>Kristina Ellison</t>
  </si>
  <si>
    <t>df442937-92f2-4a36-a5ee-278f30d03258</t>
  </si>
  <si>
    <t>John Nguyen</t>
  </si>
  <si>
    <t>32683077-4d19-43bb-abb7-93ef84cc7f98</t>
  </si>
  <si>
    <t>Pamela Wallace</t>
  </si>
  <si>
    <t>0ec81113-5bba-40c3-8d92-69b25fbac6b0</t>
  </si>
  <si>
    <t>Andrea Fitzgerald</t>
  </si>
  <si>
    <t>08e578b1-376d-47f9-a803-088e0a2bb62a</t>
  </si>
  <si>
    <t>Julia Wells</t>
  </si>
  <si>
    <t>53c9c6e7-eae4-42d9-9f31-70e336feefd9</t>
  </si>
  <si>
    <t>Matthew Herrera</t>
  </si>
  <si>
    <t>9aca7978-eda0-47c6-ab25-df6e23f1dd88</t>
  </si>
  <si>
    <t>Jason Phillips</t>
  </si>
  <si>
    <t>c7a84140-894f-4242-a63e-3cbb2873c6d5</t>
  </si>
  <si>
    <t>Angela Holland</t>
  </si>
  <si>
    <t>28425deb-d02f-4800-829b-b03491a27395</t>
  </si>
  <si>
    <t>Andrew Frye</t>
  </si>
  <si>
    <t>9860f798-9ded-4332-b176-c515b32e5562</t>
  </si>
  <si>
    <t>Jennifer Petty</t>
  </si>
  <si>
    <t>388c0caa-f97e-4358-8a13-0edc77f601ec</t>
  </si>
  <si>
    <t>Nancy Payne</t>
  </si>
  <si>
    <t>72b07908-c62c-4d50-b84a-73c953caf917</t>
  </si>
  <si>
    <t>Michael Boyer</t>
  </si>
  <si>
    <t>e94b8ad3-5edc-498e-b170-51ae8fd1c7a9</t>
  </si>
  <si>
    <t>James Schwartz</t>
  </si>
  <si>
    <t>3e62255f-a8ff-4591-af52-0bf127d67284</t>
  </si>
  <si>
    <t>Jasmine Cruz</t>
  </si>
  <si>
    <t>005bbfcb-495a-4b73-8313-cafc7fb3ef0f</t>
  </si>
  <si>
    <t>Jimmy Martin</t>
  </si>
  <si>
    <t>0416bef8-c0ed-4b71-a621-40cbc5263a60</t>
  </si>
  <si>
    <t>Matthew Chen</t>
  </si>
  <si>
    <t>3f7154a7-2442-4564-a606-39b8c7d39dab</t>
  </si>
  <si>
    <t>Mr. Paul Pearson MD</t>
  </si>
  <si>
    <t>41e07b05-c70a-4479-a0a8-3de8fca5c18f</t>
  </si>
  <si>
    <t>Terry Kaufman</t>
  </si>
  <si>
    <t>f268348a-e7fb-4985-b53e-47018215a80d</t>
  </si>
  <si>
    <t>George Martinez</t>
  </si>
  <si>
    <t>fb90643f-603e-438f-96a9-dfd5f13a5e86</t>
  </si>
  <si>
    <t>Sara Crawford</t>
  </si>
  <si>
    <t>1d2c8d74-a366-4d71-8b46-4cdedf9b3dc8</t>
  </si>
  <si>
    <t>Judith Stone</t>
  </si>
  <si>
    <t>d0494167-0c00-4b71-adfa-20ea08bc135f</t>
  </si>
  <si>
    <t>Jennifer Burnett</t>
  </si>
  <si>
    <t>b7f3f670-b755-456a-be8e-9c1c3aa79a1d</t>
  </si>
  <si>
    <t>Brianna Ray</t>
  </si>
  <si>
    <t>22601535-1947-4a42-b99e-df48278fe65e</t>
  </si>
  <si>
    <t>Sara Gould</t>
  </si>
  <si>
    <t>f082337f-326b-47df-b2f8-cf24e98abd9c</t>
  </si>
  <si>
    <t>Shannon Mcknight</t>
  </si>
  <si>
    <t>40ebdebd-3cbb-4914-9d68-87adde143c87</t>
  </si>
  <si>
    <t>Yolanda Gilmore</t>
  </si>
  <si>
    <t>f38c66fd-b307-4451-abd6-1d7c35f0fc18</t>
  </si>
  <si>
    <t>Kevin Harris</t>
  </si>
  <si>
    <t>5a613c6c-c054-402d-8322-6cfca8b2f248</t>
  </si>
  <si>
    <t>Courtney Perkins</t>
  </si>
  <si>
    <t>3431b698-63ba-4c55-b134-5eb528e10c62</t>
  </si>
  <si>
    <t>Michael Sexton</t>
  </si>
  <si>
    <t>49728ec7-ee45-43f4-ac76-ccca264846cc</t>
  </si>
  <si>
    <t>Travis Sanders</t>
  </si>
  <si>
    <t>493b0227-b5b2-4ddb-8063-572ea811d398</t>
  </si>
  <si>
    <t>Kathleen Rodriguez</t>
  </si>
  <si>
    <t>03f9e350-3a81-48a8-a678-cbdf722b3e55</t>
  </si>
  <si>
    <t>William Cohen</t>
  </si>
  <si>
    <t>37296fb3-f154-47d0-b53c-c474215e8526</t>
  </si>
  <si>
    <t>John Ramsey</t>
  </si>
  <si>
    <t>Common Cold</t>
  </si>
  <si>
    <t>Over-the-counter Medication</t>
  </si>
  <si>
    <t>Symptoms should improve within a week.</t>
  </si>
  <si>
    <t>34f6a994-3a6a-40fd-b8f7-b8f733d97f98</t>
  </si>
  <si>
    <t>Steven White</t>
  </si>
  <si>
    <t>a89596c2-917a-4e07-9477-90a81fde5345</t>
  </si>
  <si>
    <t>Elijah Morrow</t>
  </si>
  <si>
    <t>Advised rest and increased fluid intake.</t>
  </si>
  <si>
    <t>5f3b7630-f726-47c6-a855-2041838127dc</t>
  </si>
  <si>
    <t>Sophia West</t>
  </si>
  <si>
    <t>9b141076-3913-447c-88df-5f566b37b09d</t>
  </si>
  <si>
    <t>7ec24c12-3322-4ad5-9358-43399253a89b</t>
  </si>
  <si>
    <t>Mr. Spencer Cannon</t>
  </si>
  <si>
    <t>4355ffcd-677c-4c4c-bee1-bbb41af08d61</t>
  </si>
  <si>
    <t>Brian Gomez</t>
  </si>
  <si>
    <t>fc30ca90-9054-42fd-b16a-a4afabff0965</t>
  </si>
  <si>
    <t>Aaron Nguyen</t>
  </si>
  <si>
    <t>76b00d2d-a508-4ecc-86a6-343784d270a3</t>
  </si>
  <si>
    <t>Justin Parker</t>
  </si>
  <si>
    <t>77016a3e-21f9-4660-b806-b1db2ba11e5b</t>
  </si>
  <si>
    <t>Jeffrey Watson</t>
  </si>
  <si>
    <t>152f63bc-c232-4283-a23a-31cc6df85745</t>
  </si>
  <si>
    <t>Elizabeth Doyle</t>
  </si>
  <si>
    <t>7c2c439f-1d2f-49ea-8ee4-1316b5b86058</t>
  </si>
  <si>
    <t>Christopher Byrd</t>
  </si>
  <si>
    <t>dccb5b66-6eea-460e-af7d-8d939e0ee493</t>
  </si>
  <si>
    <t>Amy Thompson</t>
  </si>
  <si>
    <t>fe071aa7-5ad9-4060-bef7-4feeb8253d41</t>
  </si>
  <si>
    <t>Michael Keller</t>
  </si>
  <si>
    <t>e9f2bb28-424a-42c4-8fd5-d644f1a1790a</t>
  </si>
  <si>
    <t>Heather Johnson</t>
  </si>
  <si>
    <t>4ece07ba-b1e8-43f3-ae36-b2b6635440f3</t>
  </si>
  <si>
    <t>Justin Morales</t>
  </si>
  <si>
    <t>8c644d04-2abf-429d-9464-327d572b84df</t>
  </si>
  <si>
    <t>Bridget Smith</t>
  </si>
  <si>
    <t>8e2304d5-71c1-42db-9a57-d28c100346ba</t>
  </si>
  <si>
    <t>Tiffany Williamson</t>
  </si>
  <si>
    <t>b727268a-6515-42a7-864d-ec8813b81c84</t>
  </si>
  <si>
    <t>Gabrielle Kelly</t>
  </si>
  <si>
    <t>78f2a9eb-723c-44ac-a2b5-72f934bc6bbb</t>
  </si>
  <si>
    <t>Gregory Ramos</t>
  </si>
  <si>
    <t>8ec34d2d-6ac1-46e7-a4b5-f8adff308686</t>
  </si>
  <si>
    <t>Zachary Foster</t>
  </si>
  <si>
    <t>fbcccc36-8b90-453d-bf60-5eb3ab0a6a03</t>
  </si>
  <si>
    <t>Stacy Garrison</t>
  </si>
  <si>
    <t>Recommended over-the-counter medication for symptom relief.</t>
  </si>
  <si>
    <t>fb713076-bf22-420f-a4b3-6d8897c3efe6</t>
  </si>
  <si>
    <t>Manuel May</t>
  </si>
  <si>
    <t>16f688fc-748a-4cb8-97d3-7a4855dbc493</t>
  </si>
  <si>
    <t>Kendra Cruz</t>
  </si>
  <si>
    <t>45bf115d-e2e1-4c75-a8de-cb2fa26e5114</t>
  </si>
  <si>
    <t>Krystal Wilson</t>
  </si>
  <si>
    <t>8582939a-0a40-4c78-a97a-76391a277953</t>
  </si>
  <si>
    <t>Chase Kim</t>
  </si>
  <si>
    <t>e23b5213-8c05-4aa0-8083-5ff55f79dd74</t>
  </si>
  <si>
    <t>Jennifer Jordan</t>
  </si>
  <si>
    <t>185c3f01-4982-42a4-b931-18b6e2b8a787</t>
  </si>
  <si>
    <t>Hannah Carter</t>
  </si>
  <si>
    <t>886b9151-b62a-4494-a51b-6e6cb31a2420</t>
  </si>
  <si>
    <t>Dawn Anderson</t>
  </si>
  <si>
    <t>8d3f2e70-6ec3-4a05-99cf-f27629e95d11</t>
  </si>
  <si>
    <t>Omar Anderson</t>
  </si>
  <si>
    <t>784c64c0-055c-49cf-9323-8fe6795e813f</t>
  </si>
  <si>
    <t>Holly Rosario</t>
  </si>
  <si>
    <t>0df01bb8-b9b8-4d91-a5ac-e3e744286d7d</t>
  </si>
  <si>
    <t>Kelly Roberts</t>
  </si>
  <si>
    <t>65fe8ce2-b452-45b8-8d95-b8047d12c26a</t>
  </si>
  <si>
    <t>Mark Mendez</t>
  </si>
  <si>
    <t>33b2a39f-8fde-4997-a63c-17a0a3552237</t>
  </si>
  <si>
    <t>David Brown</t>
  </si>
  <si>
    <t>73d9cc8b-00c8-403c-8ec0-739647035a29</t>
  </si>
  <si>
    <t>Donald Bullock</t>
  </si>
  <si>
    <t>64c5dba7-3adc-40f7-a697-a1a9e0c6c340</t>
  </si>
  <si>
    <t>Deanna Lucas</t>
  </si>
  <si>
    <t>3b50c495-6d5d-43a9-a92f-28e7f3ca500e</t>
  </si>
  <si>
    <t>Tiffany Gay</t>
  </si>
  <si>
    <t>6b5f59c4-d449-46bc-8be9-ac4b069a5631</t>
  </si>
  <si>
    <t>Gerald Garza</t>
  </si>
  <si>
    <t>ed525e42-3641-4643-9f17-5e4262fd36ac</t>
  </si>
  <si>
    <t>Brittany Montgomery</t>
  </si>
  <si>
    <t>0defc61c-05ab-4779-ad88-37482ce2b0fa</t>
  </si>
  <si>
    <t>Carrie Mcfarland</t>
  </si>
  <si>
    <t>ab183790-957e-44b7-b637-fda2756474ea</t>
  </si>
  <si>
    <t>Joseph Melton</t>
  </si>
  <si>
    <t>09e6222d-ac2d-4fd4-bba8-65ab9379878d</t>
  </si>
  <si>
    <t>Steven Zhang Jr.</t>
  </si>
  <si>
    <t>c5232c05-240f-4c69-8dda-8eb99f8a3f09</t>
  </si>
  <si>
    <t>Robert Miller</t>
  </si>
  <si>
    <t>e1772385-e6b8-45bd-970e-2de8fb98a1aa</t>
  </si>
  <si>
    <t>Jonathan Bright</t>
  </si>
  <si>
    <t>de62e840-df98-43cb-a538-1a7a99cad227</t>
  </si>
  <si>
    <t>Elizabeth Sellers</t>
  </si>
  <si>
    <t>06dd389c-c40a-4b94-9fa7-47abda754375</t>
  </si>
  <si>
    <t>Margaret Mccullough</t>
  </si>
  <si>
    <t>960ee74c-2d85-41cf-96b3-e0f65764623f</t>
  </si>
  <si>
    <t>Latasha Tucker</t>
  </si>
  <si>
    <t>125f2ce1-a22d-4f1c-b4c5-8e9db3a9d10d</t>
  </si>
  <si>
    <t>Susan Williams</t>
  </si>
  <si>
    <t>e4aad7e6-19ff-438c-b3cf-c1655b3d9172</t>
  </si>
  <si>
    <t>Ana Warren</t>
  </si>
  <si>
    <t>2110a1fd-304b-421e-a58f-f86d7f8be1ee</t>
  </si>
  <si>
    <t>Erica Harrell</t>
  </si>
  <si>
    <t>b0581529-bade-4359-af75-b83918c0012a</t>
  </si>
  <si>
    <t>Natalie Smith</t>
  </si>
  <si>
    <t>5df78f7e-7609-4932-b7b5-5fc6fbc3f63d</t>
  </si>
  <si>
    <t>Terry Woods</t>
  </si>
  <si>
    <t>43ac0d28-5e32-4c60-acd2-c39f79e95ef9</t>
  </si>
  <si>
    <t>William Bridges</t>
  </si>
  <si>
    <t>5ab9cf73-640f-4869-a181-8bf01b76d840</t>
  </si>
  <si>
    <t>Robert Richards</t>
  </si>
  <si>
    <t>bd647e2d-4d1f-4680-a567-c3ae8b162ae3</t>
  </si>
  <si>
    <t>Victoria Reynolds</t>
  </si>
  <si>
    <t>841391a1-a557-4f6f-a2e3-0446dbbb7c69</t>
  </si>
  <si>
    <t>Craig Moreno</t>
  </si>
  <si>
    <t>799beb9a-0080-4f61-be28-666581d03ae4</t>
  </si>
  <si>
    <t>Jose Matthews</t>
  </si>
  <si>
    <t>11d966fb-23cc-463f-8304-d1099050eb64</t>
  </si>
  <si>
    <t>Elizabeth Hughes</t>
  </si>
  <si>
    <t>a243a3e3-b6e4-480d-94be-d387d70287f4</t>
  </si>
  <si>
    <t>Eric Spencer</t>
  </si>
  <si>
    <t>02c0867f-f4d9-4523-a599-3986da459865</t>
  </si>
  <si>
    <t>Kristy Briggs</t>
  </si>
  <si>
    <t>66d93f7f-6678-4048-a338-0058f180881b</t>
  </si>
  <si>
    <t>Natalie Perez</t>
  </si>
  <si>
    <t>c02f02e5-186e-4a69-8aff-045465572057</t>
  </si>
  <si>
    <t>Michael Robles</t>
  </si>
  <si>
    <t>5f7a538d-9a5c-4754-a399-da75553cdbc1</t>
  </si>
  <si>
    <t>Katie Mcdowell</t>
  </si>
  <si>
    <t>4a10abc0-40da-4170-bd0f-706dbee9efb7</t>
  </si>
  <si>
    <t>Wanda Zimmerman</t>
  </si>
  <si>
    <t>b6988bbe-0364-442a-8a0d-6ab3ca7a8cc2</t>
  </si>
  <si>
    <t>Molly Conley</t>
  </si>
  <si>
    <t>5f81a9da-4d05-4fdd-a9a5-5e212736df96</t>
  </si>
  <si>
    <t>Robert Gutierrez</t>
  </si>
  <si>
    <t>7e78fa36-abc1-4773-b5e1-1ab48b4a88f1</t>
  </si>
  <si>
    <t>John Evans</t>
  </si>
  <si>
    <t>48b2fcd4-d020-457c-97fe-cca0f5d849e4</t>
  </si>
  <si>
    <t>Janice Rivera</t>
  </si>
  <si>
    <t>Average of Stay</t>
  </si>
  <si>
    <t>Sum of Bill Amount</t>
  </si>
  <si>
    <t>Count of Patient ID</t>
  </si>
  <si>
    <t>Jan</t>
  </si>
  <si>
    <t>Feb</t>
  </si>
  <si>
    <t>Mar</t>
  </si>
  <si>
    <t>Apr</t>
  </si>
  <si>
    <t>May</t>
  </si>
  <si>
    <t>Jun</t>
  </si>
  <si>
    <t>Jul</t>
  </si>
  <si>
    <t>Aug</t>
  </si>
  <si>
    <t>Sep</t>
  </si>
  <si>
    <t>Oct</t>
  </si>
  <si>
    <t>Nov</t>
  </si>
  <si>
    <t>Dec</t>
  </si>
  <si>
    <t>Grand Total</t>
  </si>
  <si>
    <t>Average of Length of Stay</t>
  </si>
  <si>
    <t>Revenue Per Patient</t>
  </si>
  <si>
    <t xml:space="preserve"> </t>
  </si>
  <si>
    <t>Hospital Analytics Dashboard</t>
  </si>
  <si>
    <t>Alzheimer</t>
  </si>
  <si>
    <t>COPD</t>
  </si>
  <si>
    <t>Parkinson</t>
  </si>
  <si>
    <t>UTI</t>
  </si>
  <si>
    <t>Kidney Disease</t>
  </si>
  <si>
    <t>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</si>
</sst>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gt;=1000000]\$#,##0.00,,&quot;M&quot;;[&gt;=1000]\$#,##0.0,&quot;K&quot;;\$#,##0"/>
    <numFmt numFmtId="166" formatCode="[&gt;=1000000]\$0,&quot;M&quot;;[&gt;=1000]\$0,&quot;K&quot;"/>
    <numFmt numFmtId="167" formatCode="\$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24"/>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E86AB"/>
        <bgColor indexed="64"/>
      </patternFill>
    </fill>
    <fill>
      <patternFill patternType="solid">
        <fgColor rgb="FFF8FAFC"/>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11" fontId="0" fillId="0" borderId="0" xfId="0" applyNumberFormat="1"/>
    <xf numFmtId="164" fontId="0" fillId="0" borderId="0" xfId="0" applyNumberFormat="1"/>
    <xf numFmtId="1" fontId="0" fillId="0" borderId="0" xfId="0" applyNumberFormat="1"/>
    <xf numFmtId="0" fontId="0" fillId="0" borderId="0" xfId="0" pivotButton="1"/>
    <xf numFmtId="0" fontId="18" fillId="33" borderId="0" xfId="0" applyFont="1" applyFill="1" applyAlignment="1">
      <alignment vertical="center"/>
    </xf>
    <xf numFmtId="0" fontId="0" fillId="35" borderId="0" xfId="0" applyFill="1"/>
    <xf numFmtId="164" fontId="0" fillId="35" borderId="0" xfId="0" applyNumberFormat="1" applyFill="1"/>
    <xf numFmtId="0" fontId="20" fillId="35" borderId="0" xfId="0" applyFont="1" applyFill="1" applyAlignment="1">
      <alignment vertical="center"/>
    </xf>
    <xf numFmtId="0" fontId="18" fillId="35" borderId="0" xfId="0" applyFont="1" applyFill="1" applyAlignment="1">
      <alignment vertical="center"/>
    </xf>
    <xf numFmtId="165" fontId="0" fillId="0" borderId="0" xfId="0" applyNumberFormat="1"/>
    <xf numFmtId="166" fontId="0" fillId="0" borderId="0" xfId="0" applyNumberFormat="1"/>
    <xf numFmtId="1" fontId="20" fillId="35" borderId="0" xfId="0" applyNumberFormat="1" applyFont="1" applyFill="1" applyAlignment="1">
      <alignment vertical="center"/>
    </xf>
    <xf numFmtId="167" fontId="0" fillId="0" borderId="0" xfId="0" applyNumberFormat="1"/>
    <xf numFmtId="0" fontId="19" fillId="34" borderId="10"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14" xfId="0" applyFont="1" applyFill="1" applyBorder="1" applyAlignment="1">
      <alignment horizontal="center" vertical="center"/>
    </xf>
    <xf numFmtId="0" fontId="19" fillId="34" borderId="11" xfId="0" applyFont="1" applyFill="1" applyBorder="1" applyAlignment="1">
      <alignment horizontal="center" vertical="center"/>
    </xf>
    <xf numFmtId="0" fontId="19" fillId="34" borderId="15" xfId="0" applyFont="1" applyFill="1" applyBorder="1" applyAlignment="1">
      <alignment horizontal="center" vertical="center"/>
    </xf>
    <xf numFmtId="0" fontId="0" fillId="0" borderId="0" xfId="0" applyNumberFormat="1"/>
    <xf numFmtId="0" fontId="19" fillId="34"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numFmt numFmtId="166" formatCode="[&gt;=1000000]\$0,&quot;M&quot;;[&gt;=1000]\$0,&quot;K&quot;"/>
    </dxf>
    <dxf>
      <numFmt numFmtId="165" formatCode="[&gt;=1000000]\$#,##0.00,,&quot;M&quot;;[&gt;=1000]\$#,##0.0,&quot;K&quot;;\$#,##0"/>
    </dxf>
    <dxf>
      <font>
        <b/>
        <color theme="1"/>
      </font>
      <border>
        <bottom style="thin">
          <color theme="8"/>
        </bottom>
        <vertical/>
        <horizontal/>
      </border>
    </dxf>
    <dxf>
      <font>
        <sz val="12"/>
        <color theme="1"/>
      </font>
      <border>
        <left style="thin">
          <color rgb="FF2E86AB"/>
        </left>
        <right style="thin">
          <color theme="8"/>
        </right>
        <top style="thin">
          <color rgb="FF2E86AB"/>
        </top>
        <bottom style="thin">
          <color theme="8"/>
        </bottom>
        <vertical/>
        <horizontal style="thin">
          <color rgb="FF2E86AB"/>
        </horizontal>
      </border>
    </dxf>
  </dxfs>
  <tableStyles count="1" defaultTableStyle="TableStyleMedium2" defaultPivotStyle="PivotStyleLight16">
    <tableStyle name="Aadi01" pivot="0" table="0" count="10" xr9:uid="{85365ED2-2299-4CBF-9E06-CBBC952240C8}">
      <tableStyleElement type="wholeTable" dxfId="51"/>
      <tableStyleElement type="headerRow" dxfId="50"/>
    </tableStyle>
  </tableStyles>
  <colors>
    <mruColors>
      <color rgb="FF2E86AB"/>
      <color rgb="FF007CA8"/>
      <color rgb="FF246984"/>
      <color rgb="FF0099CC"/>
      <color rgb="FFF8FAFC"/>
      <color rgb="FF006699"/>
      <color rgb="FF004E5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2E86AB"/>
              <bgColor rgb="FF007CA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Aadi01">
        <x14:slicerStyle name="Aadi0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[hospital_project.xlsx]Pivot!PivotTable1</c:name>
    <c:fmtId val="10"/>
  </c:pivotSource>
  <c:chart>
    <c:title>
      <c:tx>
        <c:rich>
          <a:bodyPr rot="0" spcFirstLastPara="1" vertOverflow="ellipsis" vert="horz" wrap="square" anchor="ctr" anchorCtr="1"/>
          <a:lstStyle/>
          <a:p>
            <a:pPr>
              <a:defRPr sz="1800" b="1" i="0" u="none" strike="noStrike" kern="1200" spc="0" baseline="0">
                <a:solidFill>
                  <a:schemeClr val="bg2">
                    <a:lumMod val="25000"/>
                  </a:schemeClr>
                </a:solidFill>
                <a:latin typeface="+mn-lt"/>
                <a:ea typeface="+mn-ea"/>
                <a:cs typeface="+mn-cs"/>
              </a:defRPr>
            </a:pPr>
            <a:r>
              <a:rPr lang="en-US" sz="1800">
                <a:solidFill>
                  <a:schemeClr val="bg2">
                    <a:lumMod val="25000"/>
                  </a:schemeClr>
                </a:solidFill>
              </a:rPr>
              <a:t>Top Diseases by Average Hospital Stay (Days)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86AB"/>
          </a:solidFill>
          <a:ln cap="sq"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0.23006561679790027"/>
          <c:y val="0.2234944214447421"/>
          <c:w val="0.65835144024718428"/>
          <c:h val="0.7357580499598434"/>
        </c:manualLayout>
      </c:layout>
      <c:barChart>
        <c:barDir val="bar"/>
        <c:grouping val="clustered"/>
        <c:varyColors val="0"/>
        <c:ser>
          <c:idx val="0"/>
          <c:order val="0"/>
          <c:tx>
            <c:strRef>
              <c:f>Pivot!$B$1</c:f>
              <c:strCache>
                <c:ptCount val="1"/>
                <c:pt idx="0">
                  <c:v>Total</c:v>
                </c:pt>
              </c:strCache>
            </c:strRef>
          </c:tx>
          <c:spPr>
            <a:solidFill>
              <a:srgbClr val="2E86AB"/>
            </a:solidFill>
            <a:ln cap="sq" cmpd="sng">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Pivot!$A$2:$A$6</c:f>
              <c:strCache>
                <c:ptCount val="5"/>
                <c:pt idx="0">
                  <c:v>Alzheimer</c:v>
                </c:pt>
                <c:pt idx="1">
                  <c:v>Asthma</c:v>
                </c:pt>
                <c:pt idx="2">
                  <c:v>Kidney Disease</c:v>
                </c:pt>
                <c:pt idx="3">
                  <c:v>Depression</c:v>
                </c:pt>
                <c:pt idx="4">
                  <c:v>Hypertension</c:v>
                </c:pt>
              </c:strCache>
            </c:strRef>
          </c:cat>
          <c:val>
            <c:numRef>
              <c:f>Pivot!$B$2:$B$6</c:f>
              <c:numCache>
                <c:formatCode>0</c:formatCode>
                <c:ptCount val="5"/>
                <c:pt idx="0">
                  <c:v>22</c:v>
                </c:pt>
                <c:pt idx="1">
                  <c:v>20.3</c:v>
                </c:pt>
                <c:pt idx="2">
                  <c:v>19.444444444444443</c:v>
                </c:pt>
                <c:pt idx="3">
                  <c:v>19.25</c:v>
                </c:pt>
                <c:pt idx="4">
                  <c:v>19</c:v>
                </c:pt>
              </c:numCache>
            </c:numRef>
          </c:val>
          <c:extLst>
            <c:ext xmlns:c16="http://schemas.microsoft.com/office/drawing/2014/chart" uri="{C3380CC4-5D6E-409C-BE32-E72D297353CC}">
              <c16:uniqueId val="{00000000-B1F7-4BB9-970B-AD935063614B}"/>
            </c:ext>
          </c:extLst>
        </c:ser>
        <c:dLbls>
          <c:dLblPos val="outEnd"/>
          <c:showLegendKey val="0"/>
          <c:showVal val="1"/>
          <c:showCatName val="0"/>
          <c:showSerName val="0"/>
          <c:showPercent val="0"/>
          <c:showBubbleSize val="0"/>
        </c:dLbls>
        <c:gapWidth val="40"/>
        <c:axId val="2016061448"/>
        <c:axId val="2131340296"/>
      </c:barChart>
      <c:catAx>
        <c:axId val="2016061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340296"/>
        <c:crosses val="autoZero"/>
        <c:auto val="1"/>
        <c:lblAlgn val="ctr"/>
        <c:lblOffset val="100"/>
        <c:noMultiLvlLbl val="0"/>
      </c:catAx>
      <c:valAx>
        <c:axId val="2131340296"/>
        <c:scaling>
          <c:orientation val="minMax"/>
        </c:scaling>
        <c:delete val="1"/>
        <c:axPos val="t"/>
        <c:numFmt formatCode="0" sourceLinked="1"/>
        <c:majorTickMark val="none"/>
        <c:minorTickMark val="none"/>
        <c:tickLblPos val="nextTo"/>
        <c:crossAx val="2016061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2">
          <a:lumMod val="50000"/>
        </a:schemeClr>
      </a:solidFill>
      <a:round/>
    </a:ln>
    <a:effectLst>
      <a:outerShdw blurRad="63500" sx="102000" sy="102000" algn="ctr" rotWithShape="0">
        <a:srgbClr val="2E86AB">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[hospital_project.xlsx]Pivot!PivotTable3</c:name>
    <c:fmtId val="4"/>
  </c:pivotSource>
  <c:chart>
    <c:title>
      <c:tx>
        <c:rich>
          <a:bodyPr rot="0" spcFirstLastPara="1" vertOverflow="ellipsis" vert="horz" wrap="square" anchor="ctr" anchorCtr="1"/>
          <a:lstStyle/>
          <a:p>
            <a:pPr>
              <a:defRPr sz="1800" b="1" i="0" u="none" strike="noStrike" kern="1200" spc="0" baseline="0">
                <a:solidFill>
                  <a:srgbClr val="3A3838"/>
                </a:solidFill>
                <a:latin typeface="+mn-lt"/>
                <a:ea typeface="+mn-ea"/>
                <a:cs typeface="+mn-cs"/>
              </a:defRPr>
            </a:pPr>
            <a:r>
              <a:rPr lang="en-US" sz="1800"/>
              <a:t>Top Diseases by Revenue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3A3838"/>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86AB"/>
          </a:solidFill>
          <a:ln>
            <a:noFill/>
          </a:ln>
          <a:effectLst/>
        </c:spPr>
        <c:marker>
          <c:symbol val="none"/>
        </c:marker>
        <c:dLbl>
          <c:idx val="0"/>
          <c:numFmt formatCode="[&gt;999999]\$#0.0,,&quot;M&quot;;[&gt;999]\$#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22069884394221714"/>
          <c:y val="0.18324280320574898"/>
          <c:w val="0.69653683556730983"/>
          <c:h val="0.77666708773702753"/>
        </c:manualLayout>
      </c:layout>
      <c:barChart>
        <c:barDir val="bar"/>
        <c:grouping val="clustered"/>
        <c:varyColors val="0"/>
        <c:ser>
          <c:idx val="0"/>
          <c:order val="0"/>
          <c:tx>
            <c:strRef>
              <c:f>Pivot!$E$1</c:f>
              <c:strCache>
                <c:ptCount val="1"/>
                <c:pt idx="0">
                  <c:v>Total</c:v>
                </c:pt>
              </c:strCache>
            </c:strRef>
          </c:tx>
          <c:spPr>
            <a:solidFill>
              <a:srgbClr val="2E86AB"/>
            </a:solidFill>
            <a:ln>
              <a:noFill/>
            </a:ln>
            <a:effectLst/>
          </c:spPr>
          <c:invertIfNegative val="0"/>
          <c:dLbls>
            <c:numFmt formatCode="[&gt;999999]\$#0.0,,&quot;M&quot;;[&gt;999]\$#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Pivot!$D$2:$D$7</c:f>
              <c:strCache>
                <c:ptCount val="5"/>
                <c:pt idx="0">
                  <c:v>Cancer</c:v>
                </c:pt>
                <c:pt idx="1">
                  <c:v>Heart Disease</c:v>
                </c:pt>
                <c:pt idx="2">
                  <c:v>COVID-19</c:v>
                </c:pt>
                <c:pt idx="3">
                  <c:v>Kidney Disease</c:v>
                </c:pt>
                <c:pt idx="4">
                  <c:v>Pneumonia</c:v>
                </c:pt>
              </c:strCache>
            </c:strRef>
          </c:cat>
          <c:val>
            <c:numRef>
              <c:f>Pivot!$E$2:$E$7</c:f>
              <c:numCache>
                <c:formatCode>"$"#,##0.00</c:formatCode>
                <c:ptCount val="5"/>
                <c:pt idx="0">
                  <c:v>719602.67</c:v>
                </c:pt>
                <c:pt idx="1">
                  <c:v>253748.52000000002</c:v>
                </c:pt>
                <c:pt idx="2">
                  <c:v>250555.57</c:v>
                </c:pt>
                <c:pt idx="3">
                  <c:v>229050.01</c:v>
                </c:pt>
                <c:pt idx="4">
                  <c:v>219940.54999999996</c:v>
                </c:pt>
              </c:numCache>
            </c:numRef>
          </c:val>
          <c:extLst>
            <c:ext xmlns:c16="http://schemas.microsoft.com/office/drawing/2014/chart" uri="{C3380CC4-5D6E-409C-BE32-E72D297353CC}">
              <c16:uniqueId val="{00000000-D24B-4C66-BEE3-621E4E69F338}"/>
            </c:ext>
          </c:extLst>
        </c:ser>
        <c:dLbls>
          <c:dLblPos val="outEnd"/>
          <c:showLegendKey val="0"/>
          <c:showVal val="1"/>
          <c:showCatName val="0"/>
          <c:showSerName val="0"/>
          <c:showPercent val="0"/>
          <c:showBubbleSize val="0"/>
        </c:dLbls>
        <c:gapWidth val="40"/>
        <c:axId val="1940554760"/>
        <c:axId val="1940556808"/>
      </c:barChart>
      <c:catAx>
        <c:axId val="1940554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56808"/>
        <c:crosses val="autoZero"/>
        <c:auto val="1"/>
        <c:lblAlgn val="ctr"/>
        <c:lblOffset val="100"/>
        <c:noMultiLvlLbl val="0"/>
      </c:catAx>
      <c:valAx>
        <c:axId val="1940556808"/>
        <c:scaling>
          <c:orientation val="minMax"/>
        </c:scaling>
        <c:delete val="1"/>
        <c:axPos val="t"/>
        <c:numFmt formatCode="&quot;$&quot;0.0,,&quot;M&quot;" sourceLinked="0"/>
        <c:majorTickMark val="none"/>
        <c:minorTickMark val="none"/>
        <c:tickLblPos val="nextTo"/>
        <c:crossAx val="1940554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2">
          <a:lumMod val="50000"/>
        </a:schemeClr>
      </a:solidFill>
      <a:round/>
    </a:ln>
    <a:effectLst>
      <a:outerShdw blurRad="63500" sx="102000" sy="102000" algn="ctr" rotWithShape="0">
        <a:srgbClr val="2E86AB">
          <a:alpha val="20000"/>
        </a:srgb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lumMod val="25000"/>
                  </a:schemeClr>
                </a:solidFill>
              </a:rPr>
              <a:t>Monthly Patient Admissions Trend</a:t>
            </a:r>
          </a:p>
        </c:rich>
      </c:tx>
      <c:layout>
        <c:manualLayout>
          <c:xMode val="edge"/>
          <c:yMode val="edge"/>
          <c:x val="0.21268403508815539"/>
          <c:y val="4.4962493114286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E86AB"/>
            </a:solidFill>
            <a:round/>
          </a:ln>
          <a:effectLst/>
        </c:spPr>
        <c:marker>
          <c:symbol val="circle"/>
          <c:size val="5"/>
          <c:spPr>
            <a:solidFill>
              <a:srgbClr val="2E86AB"/>
            </a:solidFill>
            <a:ln w="9525">
              <a:solidFill>
                <a:srgbClr val="2E86A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6"/>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7"/>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8"/>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9"/>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0"/>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1"/>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2"/>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3"/>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4"/>
        <c:spPr>
          <a:ln w="28575" cap="rnd">
            <a:solidFill>
              <a:srgbClr val="2E86AB"/>
            </a:solidFill>
            <a:round/>
          </a:ln>
          <a:effectLst/>
        </c:spPr>
        <c:marker>
          <c:symbol val="circle"/>
          <c:size val="5"/>
          <c:spPr>
            <a:solidFill>
              <a:srgbClr val="2E86AB"/>
            </a:solidFill>
            <a:ln w="9525">
              <a:solidFill>
                <a:srgbClr val="2E86AB"/>
              </a:solidFill>
            </a:ln>
            <a:effectLst/>
          </c:spPr>
        </c:marker>
      </c:pivotFmt>
      <c:pivotFmt>
        <c:idx val="15"/>
        <c:spPr>
          <a:ln w="28575" cap="rnd">
            <a:solidFill>
              <a:srgbClr val="2E86AB"/>
            </a:solidFill>
            <a:round/>
          </a:ln>
          <a:effectLst/>
        </c:spPr>
        <c:marker>
          <c:symbol val="circle"/>
          <c:size val="5"/>
          <c:spPr>
            <a:solidFill>
              <a:srgbClr val="2E86AB"/>
            </a:solidFill>
            <a:ln w="9525">
              <a:solidFill>
                <a:srgbClr val="2E86AB"/>
              </a:solidFill>
            </a:ln>
            <a:effectLst/>
          </c:spPr>
        </c:marker>
      </c:pivotFmt>
    </c:pivotFmts>
    <c:plotArea>
      <c:layout>
        <c:manualLayout>
          <c:layoutTarget val="inner"/>
          <c:xMode val="edge"/>
          <c:yMode val="edge"/>
          <c:x val="2.3655913978494623E-2"/>
          <c:y val="0.3406454533373201"/>
          <c:w val="0.95268817204301071"/>
          <c:h val="0.4847611216319479"/>
        </c:manualLayout>
      </c:layout>
      <c:lineChart>
        <c:grouping val="standard"/>
        <c:varyColors val="0"/>
        <c:ser>
          <c:idx val="0"/>
          <c:order val="0"/>
          <c:tx>
            <c:strRef>
              <c:f>Pivot!$H$1</c:f>
              <c:strCache>
                <c:ptCount val="1"/>
                <c:pt idx="0">
                  <c:v>Total</c:v>
                </c:pt>
              </c:strCache>
            </c:strRef>
          </c:tx>
          <c:spPr>
            <a:ln w="28575" cap="rnd">
              <a:solidFill>
                <a:srgbClr val="2E86AB"/>
              </a:solidFill>
              <a:round/>
            </a:ln>
            <a:effectLst/>
          </c:spPr>
          <c:marker>
            <c:symbol val="circle"/>
            <c:size val="5"/>
            <c:spPr>
              <a:solidFill>
                <a:srgbClr val="2E86AB"/>
              </a:solidFill>
              <a:ln w="9525">
                <a:solidFill>
                  <a:srgbClr val="2E86AB"/>
                </a:solidFill>
              </a:ln>
              <a:effectLst/>
            </c:spPr>
          </c:marker>
          <c:dPt>
            <c:idx val="1"/>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1-8F11-4BA7-8CBD-30622D79E9C8}"/>
              </c:ext>
            </c:extLst>
          </c:dPt>
          <c:dPt>
            <c:idx val="2"/>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0-8F11-4BA7-8CBD-30622D79E9C8}"/>
              </c:ext>
            </c:extLst>
          </c:dPt>
          <c:dPt>
            <c:idx val="3"/>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2-8F11-4BA7-8CBD-30622D79E9C8}"/>
              </c:ext>
            </c:extLst>
          </c:dPt>
          <c:dPt>
            <c:idx val="4"/>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3-8F11-4BA7-8CBD-30622D79E9C8}"/>
              </c:ext>
            </c:extLst>
          </c:dPt>
          <c:dPt>
            <c:idx val="5"/>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4-8F11-4BA7-8CBD-30622D79E9C8}"/>
              </c:ext>
            </c:extLst>
          </c:dPt>
          <c:dPt>
            <c:idx val="6"/>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5-8F11-4BA7-8CBD-30622D79E9C8}"/>
              </c:ext>
            </c:extLst>
          </c:dPt>
          <c:dPt>
            <c:idx val="7"/>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6-8F11-4BA7-8CBD-30622D79E9C8}"/>
              </c:ext>
            </c:extLst>
          </c:dPt>
          <c:dPt>
            <c:idx val="8"/>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7-8F11-4BA7-8CBD-30622D79E9C8}"/>
              </c:ext>
            </c:extLst>
          </c:dPt>
          <c:dPt>
            <c:idx val="9"/>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8-8F11-4BA7-8CBD-30622D79E9C8}"/>
              </c:ext>
            </c:extLst>
          </c:dPt>
          <c:dPt>
            <c:idx val="10"/>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9-8F11-4BA7-8CBD-30622D79E9C8}"/>
              </c:ext>
            </c:extLst>
          </c:dPt>
          <c:dPt>
            <c:idx val="11"/>
            <c:marker>
              <c:symbol val="circle"/>
              <c:size val="5"/>
              <c:spPr>
                <a:solidFill>
                  <a:srgbClr val="2E86AB"/>
                </a:solidFill>
                <a:ln w="9525">
                  <a:solidFill>
                    <a:srgbClr val="2E86AB"/>
                  </a:solidFill>
                </a:ln>
                <a:effectLst/>
              </c:spPr>
            </c:marker>
            <c:bubble3D val="0"/>
            <c:extLst>
              <c:ext xmlns:c16="http://schemas.microsoft.com/office/drawing/2014/chart" uri="{C3380CC4-5D6E-409C-BE32-E72D297353CC}">
                <c16:uniqueId val="{0000000A-8F11-4BA7-8CBD-30622D79E9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Pivot!$G$2:$G$13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Pivot!$H$2:$H$13</c:f>
              <c:numCache>
                <c:formatCode>General</c:formatCode>
                <c:ptCount val="12"/>
                <c:pt idx="0">
                  <c:v>33</c:v>
                </c:pt>
                <c:pt idx="1">
                  <c:v>32</c:v>
                </c:pt>
                <c:pt idx="2">
                  <c:v>28</c:v>
                </c:pt>
                <c:pt idx="3">
                  <c:v>26</c:v>
                </c:pt>
                <c:pt idx="4">
                  <c:v>27</c:v>
                </c:pt>
                <c:pt idx="5">
                  <c:v>35</c:v>
                </c:pt>
                <c:pt idx="6">
                  <c:v>25</c:v>
                </c:pt>
                <c:pt idx="7">
                  <c:v>33</c:v>
                </c:pt>
                <c:pt idx="8">
                  <c:v>21</c:v>
                </c:pt>
                <c:pt idx="9">
                  <c:v>25</c:v>
                </c:pt>
                <c:pt idx="10">
                  <c:v>31</c:v>
                </c:pt>
                <c:pt idx="11">
                  <c:v>35</c:v>
                </c:pt>
              </c:numCache>
            </c:numRef>
          </c:val>
          <c:smooth val="0"/>
          <c:extLst>
            <c:ext xmlns:c16="http://schemas.microsoft.com/office/drawing/2014/chart" uri="{C3380CC4-5D6E-409C-BE32-E72D297353CC}">
              <c16:uniqueId val="{00000000-EB56-4754-9632-71ECE6D82A5C}"/>
            </c:ext>
          </c:extLst>
        </c:ser>
        <c:dLbls>
          <c:dLblPos val="t"/>
          <c:showLegendKey val="0"/>
          <c:showVal val="1"/>
          <c:showCatName val="0"/>
          <c:showSerName val="0"/>
          <c:showPercent val="0"/>
          <c:showBubbleSize val="0"/>
        </c:dLbls>
        <c:marker val="1"/>
        <c:smooth val="0"/>
        <c:axId val="751862791"/>
        <c:axId val="751864839"/>
      </c:lineChart>
      <c:catAx>
        <c:axId val="751862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25000"/>
                  </a:schemeClr>
                </a:solidFill>
                <a:latin typeface="+mn-lt"/>
                <a:ea typeface="+mn-ea"/>
                <a:cs typeface="+mn-cs"/>
              </a:defRPr>
            </a:pPr>
            <a:endParaRPr lang="en-US"/>
          </a:p>
        </c:txPr>
        <c:crossAx val="751864839"/>
        <c:crosses val="autoZero"/>
        <c:auto val="1"/>
        <c:lblAlgn val="ctr"/>
        <c:lblOffset val="200"/>
        <c:tickMarkSkip val="1"/>
        <c:noMultiLvlLbl val="0"/>
      </c:catAx>
      <c:valAx>
        <c:axId val="751864839"/>
        <c:scaling>
          <c:orientation val="minMax"/>
        </c:scaling>
        <c:delete val="1"/>
        <c:axPos val="l"/>
        <c:numFmt formatCode="General" sourceLinked="1"/>
        <c:majorTickMark val="none"/>
        <c:minorTickMark val="none"/>
        <c:tickLblPos val="nextTo"/>
        <c:crossAx val="751862791"/>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bg2">
          <a:lumMod val="50000"/>
        </a:schemeClr>
      </a:solidFill>
      <a:round/>
    </a:ln>
    <a:effectLst>
      <a:outerShdw blurRad="63500" sx="102000" sy="102000" algn="ctr" rotWithShape="0">
        <a:srgbClr val="2E86AB">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[hospital_project.xlsx]Pivot!PivotTable6</c:name>
    <c:fmtId val="41"/>
  </c:pivotSource>
  <c:chart>
    <c:title>
      <c:tx>
        <c:rich>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r>
              <a:rPr lang="en-IN" sz="1800" b="1" i="0" u="none" strike="noStrike" baseline="0">
                <a:solidFill>
                  <a:schemeClr val="bg2">
                    <a:lumMod val="25000"/>
                  </a:schemeClr>
                </a:solidFill>
              </a:rPr>
              <a:t>Top Diseases by Patient Count (Gender-wise)</a:t>
            </a:r>
            <a:endParaRPr lang="en-IN" sz="1800">
              <a:solidFill>
                <a:schemeClr val="bg2">
                  <a:lumMod val="25000"/>
                </a:schemeClr>
              </a:solidFill>
            </a:endParaRPr>
          </a:p>
        </c:rich>
      </c:tx>
      <c:layout>
        <c:manualLayout>
          <c:xMode val="edge"/>
          <c:yMode val="edge"/>
          <c:x val="0.15525281474576383"/>
          <c:y val="4.2492168317669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04644413151119E-2"/>
          <c:y val="0.22758798295374369"/>
          <c:w val="0.92452398897241117"/>
          <c:h val="0.51621440465103152"/>
        </c:manualLayout>
      </c:layout>
      <c:barChart>
        <c:barDir val="col"/>
        <c:grouping val="clustered"/>
        <c:varyColors val="0"/>
        <c:ser>
          <c:idx val="0"/>
          <c:order val="0"/>
          <c:tx>
            <c:strRef>
              <c:f>Pivot!$T$1:$T$2</c:f>
              <c:strCache>
                <c:ptCount val="1"/>
                <c:pt idx="0">
                  <c:v>Female</c:v>
                </c:pt>
              </c:strCache>
            </c:strRef>
          </c:tx>
          <c:spPr>
            <a:solidFill>
              <a:srgbClr val="00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Pivot!$S$3:$S$9</c:f>
              <c:strCache>
                <c:ptCount val="7"/>
                <c:pt idx="0">
                  <c:v>Skin Infection</c:v>
                </c:pt>
                <c:pt idx="1">
                  <c:v>Pneumonia</c:v>
                </c:pt>
                <c:pt idx="2">
                  <c:v>Influenza</c:v>
                </c:pt>
                <c:pt idx="3">
                  <c:v>Depression</c:v>
                </c:pt>
                <c:pt idx="4">
                  <c:v>Common Cold</c:v>
                </c:pt>
                <c:pt idx="5">
                  <c:v>Bronchitis</c:v>
                </c:pt>
                <c:pt idx="6">
                  <c:v>Migraine</c:v>
                </c:pt>
              </c:strCache>
            </c:strRef>
          </c:cat>
          <c:val>
            <c:numRef>
              <c:f>Pivot!$T$3:$T$9</c:f>
              <c:numCache>
                <c:formatCode>General</c:formatCode>
                <c:ptCount val="7"/>
                <c:pt idx="0">
                  <c:v>12</c:v>
                </c:pt>
                <c:pt idx="1">
                  <c:v>8</c:v>
                </c:pt>
                <c:pt idx="2">
                  <c:v>15</c:v>
                </c:pt>
                <c:pt idx="3">
                  <c:v>6</c:v>
                </c:pt>
                <c:pt idx="4">
                  <c:v>3</c:v>
                </c:pt>
                <c:pt idx="5">
                  <c:v>9</c:v>
                </c:pt>
                <c:pt idx="6">
                  <c:v>6</c:v>
                </c:pt>
              </c:numCache>
            </c:numRef>
          </c:val>
          <c:extLst>
            <c:ext xmlns:c16="http://schemas.microsoft.com/office/drawing/2014/chart" uri="{C3380CC4-5D6E-409C-BE32-E72D297353CC}">
              <c16:uniqueId val="{00000000-27D2-4DDF-A174-F0DE4D434F3E}"/>
            </c:ext>
          </c:extLst>
        </c:ser>
        <c:ser>
          <c:idx val="1"/>
          <c:order val="1"/>
          <c:tx>
            <c:strRef>
              <c:f>Pivot!$U$1:$U$2</c:f>
              <c:strCache>
                <c:ptCount val="1"/>
                <c:pt idx="0">
                  <c:v>Male</c:v>
                </c:pt>
              </c:strCache>
            </c:strRef>
          </c:tx>
          <c:spPr>
            <a:solidFill>
              <a:srgbClr val="2E86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Pivot!$S$3:$S$9</c:f>
              <c:strCache>
                <c:ptCount val="7"/>
                <c:pt idx="0">
                  <c:v>Skin Infection</c:v>
                </c:pt>
                <c:pt idx="1">
                  <c:v>Pneumonia</c:v>
                </c:pt>
                <c:pt idx="2">
                  <c:v>Influenza</c:v>
                </c:pt>
                <c:pt idx="3">
                  <c:v>Depression</c:v>
                </c:pt>
                <c:pt idx="4">
                  <c:v>Common Cold</c:v>
                </c:pt>
                <c:pt idx="5">
                  <c:v>Bronchitis</c:v>
                </c:pt>
                <c:pt idx="6">
                  <c:v>Migraine</c:v>
                </c:pt>
              </c:strCache>
            </c:strRef>
          </c:cat>
          <c:val>
            <c:numRef>
              <c:f>Pivot!$U$3:$U$9</c:f>
              <c:numCache>
                <c:formatCode>General</c:formatCode>
                <c:ptCount val="7"/>
                <c:pt idx="0">
                  <c:v>8</c:v>
                </c:pt>
                <c:pt idx="1">
                  <c:v>10</c:v>
                </c:pt>
                <c:pt idx="2">
                  <c:v>3</c:v>
                </c:pt>
                <c:pt idx="3">
                  <c:v>10</c:v>
                </c:pt>
                <c:pt idx="4">
                  <c:v>13</c:v>
                </c:pt>
                <c:pt idx="5">
                  <c:v>7</c:v>
                </c:pt>
                <c:pt idx="6">
                  <c:v>10</c:v>
                </c:pt>
              </c:numCache>
            </c:numRef>
          </c:val>
          <c:extLst>
            <c:ext xmlns:c16="http://schemas.microsoft.com/office/drawing/2014/chart" uri="{C3380CC4-5D6E-409C-BE32-E72D297353CC}">
              <c16:uniqueId val="{0000001E-27D2-4DDF-A174-F0DE4D434F3E}"/>
            </c:ext>
          </c:extLst>
        </c:ser>
        <c:dLbls>
          <c:showLegendKey val="0"/>
          <c:showVal val="1"/>
          <c:showCatName val="0"/>
          <c:showSerName val="0"/>
          <c:showPercent val="0"/>
          <c:showBubbleSize val="0"/>
        </c:dLbls>
        <c:gapWidth val="100"/>
        <c:axId val="287960799"/>
        <c:axId val="287977599"/>
      </c:barChart>
      <c:catAx>
        <c:axId val="2879607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7977599"/>
        <c:crosses val="autoZero"/>
        <c:auto val="1"/>
        <c:lblAlgn val="ctr"/>
        <c:lblOffset val="100"/>
        <c:noMultiLvlLbl val="0"/>
      </c:catAx>
      <c:valAx>
        <c:axId val="287977599"/>
        <c:scaling>
          <c:orientation val="minMax"/>
        </c:scaling>
        <c:delete val="1"/>
        <c:axPos val="l"/>
        <c:numFmt formatCode="General" sourceLinked="1"/>
        <c:majorTickMark val="out"/>
        <c:minorTickMark val="none"/>
        <c:tickLblPos val="nextTo"/>
        <c:crossAx val="287960799"/>
        <c:crosses val="autoZero"/>
        <c:crossBetween val="between"/>
      </c:valAx>
      <c:spPr>
        <a:noFill/>
        <a:ln>
          <a:noFill/>
        </a:ln>
        <a:effectLst/>
      </c:spPr>
    </c:plotArea>
    <c:legend>
      <c:legendPos val="r"/>
      <c:layout>
        <c:manualLayout>
          <c:xMode val="edge"/>
          <c:yMode val="edge"/>
          <c:x val="0.46001259445843828"/>
          <c:y val="0.89137456608246546"/>
          <c:w val="0.1663518052057095"/>
          <c:h val="8.848354641153725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a:outerShdw blurRad="63500" sx="102000" sy="102000" algn="ctr" rotWithShape="0">
        <a:srgbClr val="2E86AB">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228600</xdr:colOff>
      <xdr:row>9</xdr:row>
      <xdr:rowOff>160020</xdr:rowOff>
    </xdr:from>
    <xdr:to>
      <xdr:col>23</xdr:col>
      <xdr:colOff>272796</xdr:colOff>
      <xdr:row>22</xdr:row>
      <xdr:rowOff>0</xdr:rowOff>
    </xdr:to>
    <xdr:graphicFrame macro="">
      <xdr:nvGraphicFramePr>
        <xdr:cNvPr id="3" name="Chart 2">
          <a:extLst>
            <a:ext uri="{FF2B5EF4-FFF2-40B4-BE49-F238E27FC236}">
              <a16:creationId xmlns:a16="http://schemas.microsoft.com/office/drawing/2014/main" id="{3EBF2283-63EB-4209-9008-6EE4CBD34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22</xdr:row>
      <xdr:rowOff>160020</xdr:rowOff>
    </xdr:from>
    <xdr:to>
      <xdr:col>13</xdr:col>
      <xdr:colOff>36058</xdr:colOff>
      <xdr:row>38</xdr:row>
      <xdr:rowOff>83820</xdr:rowOff>
    </xdr:to>
    <xdr:graphicFrame macro="">
      <xdr:nvGraphicFramePr>
        <xdr:cNvPr id="4" name="Chart 3">
          <a:extLst>
            <a:ext uri="{FF2B5EF4-FFF2-40B4-BE49-F238E27FC236}">
              <a16:creationId xmlns:a16="http://schemas.microsoft.com/office/drawing/2014/main" id="{093AEC64-8FD7-4EA1-93DA-189AAB61F70D}"/>
            </a:ext>
            <a:ext uri="{147F2762-F138-4A5C-976F-8EAC2B608ADB}">
              <a16:predDERef xmlns:a16="http://schemas.microsoft.com/office/drawing/2014/main" pred="{3EBF2283-63EB-4209-9008-6EE4CBD34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9</xdr:row>
      <xdr:rowOff>152400</xdr:rowOff>
    </xdr:from>
    <xdr:to>
      <xdr:col>13</xdr:col>
      <xdr:colOff>28231</xdr:colOff>
      <xdr:row>22</xdr:row>
      <xdr:rowOff>45720</xdr:rowOff>
    </xdr:to>
    <xdr:graphicFrame macro="">
      <xdr:nvGraphicFramePr>
        <xdr:cNvPr id="5" name="Chart 4">
          <a:extLst>
            <a:ext uri="{FF2B5EF4-FFF2-40B4-BE49-F238E27FC236}">
              <a16:creationId xmlns:a16="http://schemas.microsoft.com/office/drawing/2014/main" id="{D46A25A8-F325-4B16-ACE2-99CD636A7960}"/>
            </a:ext>
            <a:ext uri="{147F2762-F138-4A5C-976F-8EAC2B608ADB}">
              <a16:predDERef xmlns:a16="http://schemas.microsoft.com/office/drawing/2014/main" pred="{093AEC64-8FD7-4EA1-93DA-189AAB61F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xdr:row>
      <xdr:rowOff>38100</xdr:rowOff>
    </xdr:from>
    <xdr:to>
      <xdr:col>6</xdr:col>
      <xdr:colOff>251460</xdr:colOff>
      <xdr:row>8</xdr:row>
      <xdr:rowOff>0</xdr:rowOff>
    </xdr:to>
    <xdr:sp macro="" textlink="Pivot!M2">
      <xdr:nvSpPr>
        <xdr:cNvPr id="2" name="Rectangle: Rounded Corners 1">
          <a:extLst>
            <a:ext uri="{FF2B5EF4-FFF2-40B4-BE49-F238E27FC236}">
              <a16:creationId xmlns:a16="http://schemas.microsoft.com/office/drawing/2014/main" id="{B46BF916-15CC-742B-57DE-142DC7FD1647}"/>
            </a:ext>
          </a:extLst>
        </xdr:cNvPr>
        <xdr:cNvSpPr>
          <a:spLocks/>
        </xdr:cNvSpPr>
      </xdr:nvSpPr>
      <xdr:spPr>
        <a:xfrm>
          <a:off x="1211580" y="601980"/>
          <a:ext cx="2689860" cy="899160"/>
        </a:xfrm>
        <a:prstGeom prst="roundRect">
          <a:avLst/>
        </a:prstGeom>
        <a:solidFill>
          <a:schemeClr val="bg1"/>
        </a:solidFill>
        <a:ln>
          <a:solidFill>
            <a:schemeClr val="bg2">
              <a:lumMod val="25000"/>
            </a:schemeClr>
          </a:solidFill>
        </a:ln>
        <a:effectLst>
          <a:glow rad="63500">
            <a:srgbClr val="2E86AB">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b"/>
        <a:lstStyle/>
        <a:p>
          <a:pPr algn="ctr"/>
          <a:fld id="{C06A3ECF-8896-4059-A254-5837BEB4C6FD}" type="TxLink">
            <a:rPr lang="en-US" sz="3200" b="1" i="0" u="none" strike="noStrike">
              <a:solidFill>
                <a:srgbClr val="000000"/>
              </a:solidFill>
              <a:latin typeface="Calibri"/>
              <a:ea typeface="Calibri"/>
              <a:cs typeface="Calibri"/>
            </a:rPr>
            <a:pPr algn="ctr"/>
            <a:t>351</a:t>
          </a:fld>
          <a:endParaRPr lang="en-IN" sz="6600" b="1">
            <a:solidFill>
              <a:schemeClr val="tx1">
                <a:lumMod val="95000"/>
                <a:lumOff val="5000"/>
              </a:schemeClr>
            </a:solidFill>
          </a:endParaRPr>
        </a:p>
      </xdr:txBody>
    </xdr:sp>
    <xdr:clientData/>
  </xdr:twoCellAnchor>
  <xdr:twoCellAnchor>
    <xdr:from>
      <xdr:col>2</xdr:col>
      <xdr:colOff>586740</xdr:colOff>
      <xdr:row>3</xdr:row>
      <xdr:rowOff>68580</xdr:rowOff>
    </xdr:from>
    <xdr:to>
      <xdr:col>5</xdr:col>
      <xdr:colOff>152400</xdr:colOff>
      <xdr:row>5</xdr:row>
      <xdr:rowOff>47580</xdr:rowOff>
    </xdr:to>
    <xdr:sp macro="" textlink="">
      <xdr:nvSpPr>
        <xdr:cNvPr id="12" name="Rectangle: Rounded Corners 11">
          <a:extLst>
            <a:ext uri="{FF2B5EF4-FFF2-40B4-BE49-F238E27FC236}">
              <a16:creationId xmlns:a16="http://schemas.microsoft.com/office/drawing/2014/main" id="{DF9EC4A9-1BC8-5A01-DE1F-C458D5964BC7}"/>
            </a:ext>
          </a:extLst>
        </xdr:cNvPr>
        <xdr:cNvSpPr/>
      </xdr:nvSpPr>
      <xdr:spPr>
        <a:xfrm>
          <a:off x="1798320" y="632460"/>
          <a:ext cx="1394460" cy="360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2">
                  <a:lumMod val="25000"/>
                </a:schemeClr>
              </a:solidFill>
            </a:rPr>
            <a:t>Total </a:t>
          </a:r>
          <a:r>
            <a:rPr lang="en-IN" sz="1600" b="1" baseline="0">
              <a:solidFill>
                <a:schemeClr val="bg2">
                  <a:lumMod val="25000"/>
                </a:schemeClr>
              </a:solidFill>
            </a:rPr>
            <a:t>Patients</a:t>
          </a:r>
          <a:endParaRPr lang="en-IN" sz="1600" b="1">
            <a:solidFill>
              <a:schemeClr val="bg2">
                <a:lumMod val="25000"/>
              </a:schemeClr>
            </a:solidFill>
          </a:endParaRPr>
        </a:p>
      </xdr:txBody>
    </xdr:sp>
    <xdr:clientData/>
  </xdr:twoCellAnchor>
  <xdr:twoCellAnchor>
    <xdr:from>
      <xdr:col>7</xdr:col>
      <xdr:colOff>28149</xdr:colOff>
      <xdr:row>3</xdr:row>
      <xdr:rowOff>38100</xdr:rowOff>
    </xdr:from>
    <xdr:to>
      <xdr:col>11</xdr:col>
      <xdr:colOff>242761</xdr:colOff>
      <xdr:row>8</xdr:row>
      <xdr:rowOff>0</xdr:rowOff>
    </xdr:to>
    <xdr:sp macro="" textlink="Pivot!O2">
      <xdr:nvSpPr>
        <xdr:cNvPr id="13" name="Rectangle: Rounded Corners 12">
          <a:extLst>
            <a:ext uri="{FF2B5EF4-FFF2-40B4-BE49-F238E27FC236}">
              <a16:creationId xmlns:a16="http://schemas.microsoft.com/office/drawing/2014/main" id="{5BB851A1-C8EF-4D6B-8D48-B7960BFFED28}"/>
            </a:ext>
          </a:extLst>
        </xdr:cNvPr>
        <xdr:cNvSpPr>
          <a:spLocks/>
        </xdr:cNvSpPr>
      </xdr:nvSpPr>
      <xdr:spPr>
        <a:xfrm>
          <a:off x="4287729" y="601980"/>
          <a:ext cx="2653012" cy="899160"/>
        </a:xfrm>
        <a:prstGeom prst="roundRect">
          <a:avLst/>
        </a:prstGeom>
        <a:solidFill>
          <a:schemeClr val="bg1"/>
        </a:solidFill>
        <a:ln>
          <a:solidFill>
            <a:schemeClr val="bg2">
              <a:lumMod val="25000"/>
            </a:schemeClr>
          </a:solidFill>
        </a:ln>
        <a:effectLst>
          <a:glow rad="63500">
            <a:srgbClr val="2E86AB">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b"/>
        <a:lstStyle/>
        <a:p>
          <a:pPr algn="ctr"/>
          <a:fld id="{FF35F263-3F4E-4003-B767-96150F88FA8A}" type="TxLink">
            <a:rPr lang="en-US" sz="3200" b="1" i="0" u="none" strike="noStrike">
              <a:solidFill>
                <a:srgbClr val="000000"/>
              </a:solidFill>
              <a:latin typeface="Calibri"/>
              <a:ea typeface="Calibri"/>
              <a:cs typeface="Calibri"/>
            </a:rPr>
            <a:pPr algn="ctr"/>
            <a:t>$3.07M</a:t>
          </a:fld>
          <a:endParaRPr lang="en-IN" sz="6600" b="1">
            <a:solidFill>
              <a:schemeClr val="bg2">
                <a:lumMod val="10000"/>
              </a:schemeClr>
            </a:solidFill>
          </a:endParaRPr>
        </a:p>
      </xdr:txBody>
    </xdr:sp>
    <xdr:clientData/>
  </xdr:twoCellAnchor>
  <xdr:twoCellAnchor>
    <xdr:from>
      <xdr:col>12</xdr:col>
      <xdr:colOff>19450</xdr:colOff>
      <xdr:row>3</xdr:row>
      <xdr:rowOff>30480</xdr:rowOff>
    </xdr:from>
    <xdr:to>
      <xdr:col>16</xdr:col>
      <xdr:colOff>270910</xdr:colOff>
      <xdr:row>7</xdr:row>
      <xdr:rowOff>175260</xdr:rowOff>
    </xdr:to>
    <xdr:sp macro="" textlink="Pivot!Q10">
      <xdr:nvSpPr>
        <xdr:cNvPr id="15" name="Rectangle: Rounded Corners 14">
          <a:extLst>
            <a:ext uri="{FF2B5EF4-FFF2-40B4-BE49-F238E27FC236}">
              <a16:creationId xmlns:a16="http://schemas.microsoft.com/office/drawing/2014/main" id="{613EB5B6-E338-4D20-B652-81780AF95BA3}"/>
            </a:ext>
          </a:extLst>
        </xdr:cNvPr>
        <xdr:cNvSpPr>
          <a:spLocks/>
        </xdr:cNvSpPr>
      </xdr:nvSpPr>
      <xdr:spPr>
        <a:xfrm>
          <a:off x="7327030" y="594360"/>
          <a:ext cx="2689860" cy="899160"/>
        </a:xfrm>
        <a:prstGeom prst="roundRect">
          <a:avLst/>
        </a:prstGeom>
        <a:solidFill>
          <a:schemeClr val="bg1"/>
        </a:solidFill>
        <a:ln>
          <a:solidFill>
            <a:schemeClr val="bg2">
              <a:lumMod val="25000"/>
            </a:schemeClr>
          </a:solidFill>
        </a:ln>
        <a:effectLst>
          <a:glow rad="63500">
            <a:srgbClr val="2E86AB">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b"/>
        <a:lstStyle/>
        <a:p>
          <a:pPr algn="ctr"/>
          <a:fld id="{A3FC4B4B-5965-4691-A2EB-FD641DDB40BB}" type="TxLink">
            <a:rPr lang="en-US" sz="3200" b="1" i="0" u="none" strike="noStrike">
              <a:solidFill>
                <a:srgbClr val="000000"/>
              </a:solidFill>
              <a:latin typeface="Calibri"/>
              <a:ea typeface="Calibri"/>
              <a:cs typeface="Calibri"/>
            </a:rPr>
            <a:pPr algn="ctr"/>
            <a:t>16</a:t>
          </a:fld>
          <a:endParaRPr lang="en-IN" sz="6600" b="1">
            <a:solidFill>
              <a:schemeClr val="bg2">
                <a:lumMod val="10000"/>
              </a:schemeClr>
            </a:solidFill>
          </a:endParaRPr>
        </a:p>
      </xdr:txBody>
    </xdr:sp>
    <xdr:clientData/>
  </xdr:twoCellAnchor>
  <xdr:twoCellAnchor>
    <xdr:from>
      <xdr:col>17</xdr:col>
      <xdr:colOff>41023</xdr:colOff>
      <xdr:row>3</xdr:row>
      <xdr:rowOff>30480</xdr:rowOff>
    </xdr:from>
    <xdr:to>
      <xdr:col>21</xdr:col>
      <xdr:colOff>384601</xdr:colOff>
      <xdr:row>7</xdr:row>
      <xdr:rowOff>175260</xdr:rowOff>
    </xdr:to>
    <xdr:sp macro="" textlink="Pivot!Q14">
      <xdr:nvSpPr>
        <xdr:cNvPr id="16" name="Rectangle: Rounded Corners 15">
          <a:extLst>
            <a:ext uri="{FF2B5EF4-FFF2-40B4-BE49-F238E27FC236}">
              <a16:creationId xmlns:a16="http://schemas.microsoft.com/office/drawing/2014/main" id="{A012A71B-D7BA-433E-B05A-1E0C1CF4562A}"/>
            </a:ext>
          </a:extLst>
        </xdr:cNvPr>
        <xdr:cNvSpPr>
          <a:spLocks/>
        </xdr:cNvSpPr>
      </xdr:nvSpPr>
      <xdr:spPr>
        <a:xfrm>
          <a:off x="10396603" y="594360"/>
          <a:ext cx="2781978" cy="899160"/>
        </a:xfrm>
        <a:prstGeom prst="roundRect">
          <a:avLst/>
        </a:prstGeom>
        <a:solidFill>
          <a:schemeClr val="bg1"/>
        </a:solidFill>
        <a:ln>
          <a:solidFill>
            <a:schemeClr val="bg2">
              <a:lumMod val="25000"/>
            </a:schemeClr>
          </a:solidFill>
        </a:ln>
        <a:effectLst>
          <a:glow rad="63500">
            <a:srgbClr val="2E86AB">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b"/>
        <a:lstStyle/>
        <a:p>
          <a:pPr algn="ctr"/>
          <a:fld id="{17AE988A-399A-4AD1-8C7F-D90989EAC037}" type="TxLink">
            <a:rPr lang="en-US" sz="3200" b="1" i="0" u="none" strike="noStrike">
              <a:solidFill>
                <a:srgbClr val="000000"/>
              </a:solidFill>
              <a:latin typeface="Calibri"/>
              <a:ea typeface="Calibri"/>
              <a:cs typeface="Calibri"/>
            </a:rPr>
            <a:pPr algn="ctr"/>
            <a:t>$8.8K</a:t>
          </a:fld>
          <a:endParaRPr lang="en-IN" sz="7200" b="1">
            <a:solidFill>
              <a:schemeClr val="bg2">
                <a:lumMod val="10000"/>
              </a:schemeClr>
            </a:solidFill>
          </a:endParaRPr>
        </a:p>
      </xdr:txBody>
    </xdr:sp>
    <xdr:clientData/>
  </xdr:twoCellAnchor>
  <xdr:twoCellAnchor>
    <xdr:from>
      <xdr:col>8</xdr:col>
      <xdr:colOff>28787</xdr:colOff>
      <xdr:row>3</xdr:row>
      <xdr:rowOff>60960</xdr:rowOff>
    </xdr:from>
    <xdr:to>
      <xdr:col>10</xdr:col>
      <xdr:colOff>272627</xdr:colOff>
      <xdr:row>5</xdr:row>
      <xdr:rowOff>39960</xdr:rowOff>
    </xdr:to>
    <xdr:sp macro="" textlink="">
      <xdr:nvSpPr>
        <xdr:cNvPr id="18" name="Rectangle: Rounded Corners 17">
          <a:extLst>
            <a:ext uri="{FF2B5EF4-FFF2-40B4-BE49-F238E27FC236}">
              <a16:creationId xmlns:a16="http://schemas.microsoft.com/office/drawing/2014/main" id="{7CD696D1-F080-4EBB-9565-1360290BB7DC}"/>
            </a:ext>
          </a:extLst>
        </xdr:cNvPr>
        <xdr:cNvSpPr/>
      </xdr:nvSpPr>
      <xdr:spPr>
        <a:xfrm>
          <a:off x="4897967" y="624840"/>
          <a:ext cx="1463040" cy="360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2">
                  <a:lumMod val="25000"/>
                </a:schemeClr>
              </a:solidFill>
            </a:rPr>
            <a:t>Total </a:t>
          </a:r>
          <a:r>
            <a:rPr lang="en-IN" sz="1600" b="1" baseline="0">
              <a:solidFill>
                <a:schemeClr val="bg2">
                  <a:lumMod val="25000"/>
                </a:schemeClr>
              </a:solidFill>
            </a:rPr>
            <a:t>Revenue</a:t>
          </a:r>
          <a:endParaRPr lang="en-IN" sz="1600" b="1">
            <a:solidFill>
              <a:schemeClr val="bg2">
                <a:lumMod val="25000"/>
              </a:schemeClr>
            </a:solidFill>
          </a:endParaRPr>
        </a:p>
      </xdr:txBody>
    </xdr:sp>
    <xdr:clientData/>
  </xdr:twoCellAnchor>
  <xdr:twoCellAnchor>
    <xdr:from>
      <xdr:col>12</xdr:col>
      <xdr:colOff>289560</xdr:colOff>
      <xdr:row>3</xdr:row>
      <xdr:rowOff>60960</xdr:rowOff>
    </xdr:from>
    <xdr:to>
      <xdr:col>16</xdr:col>
      <xdr:colOff>0</xdr:colOff>
      <xdr:row>5</xdr:row>
      <xdr:rowOff>39960</xdr:rowOff>
    </xdr:to>
    <xdr:sp macro="" textlink="">
      <xdr:nvSpPr>
        <xdr:cNvPr id="19" name="Rectangle: Rounded Corners 18">
          <a:extLst>
            <a:ext uri="{FF2B5EF4-FFF2-40B4-BE49-F238E27FC236}">
              <a16:creationId xmlns:a16="http://schemas.microsoft.com/office/drawing/2014/main" id="{7821CAB5-9DE7-4422-AABE-751727995F51}"/>
            </a:ext>
          </a:extLst>
        </xdr:cNvPr>
        <xdr:cNvSpPr/>
      </xdr:nvSpPr>
      <xdr:spPr>
        <a:xfrm>
          <a:off x="7597140" y="624840"/>
          <a:ext cx="2148840" cy="360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2">
                  <a:lumMod val="25000"/>
                </a:schemeClr>
              </a:solidFill>
            </a:rPr>
            <a:t>Average</a:t>
          </a:r>
          <a:r>
            <a:rPr lang="en-IN" sz="1600" b="1" baseline="0">
              <a:solidFill>
                <a:schemeClr val="bg2">
                  <a:lumMod val="25000"/>
                </a:schemeClr>
              </a:solidFill>
            </a:rPr>
            <a:t> length of Stay</a:t>
          </a:r>
          <a:endParaRPr lang="en-IN" sz="1600" b="1">
            <a:solidFill>
              <a:schemeClr val="bg2">
                <a:lumMod val="25000"/>
              </a:schemeClr>
            </a:solidFill>
          </a:endParaRPr>
        </a:p>
      </xdr:txBody>
    </xdr:sp>
    <xdr:clientData/>
  </xdr:twoCellAnchor>
  <xdr:twoCellAnchor>
    <xdr:from>
      <xdr:col>17</xdr:col>
      <xdr:colOff>441960</xdr:colOff>
      <xdr:row>3</xdr:row>
      <xdr:rowOff>60960</xdr:rowOff>
    </xdr:from>
    <xdr:to>
      <xdr:col>20</xdr:col>
      <xdr:colOff>556260</xdr:colOff>
      <xdr:row>5</xdr:row>
      <xdr:rowOff>39960</xdr:rowOff>
    </xdr:to>
    <xdr:sp macro="" textlink="">
      <xdr:nvSpPr>
        <xdr:cNvPr id="20" name="Rectangle: Rounded Corners 19">
          <a:extLst>
            <a:ext uri="{FF2B5EF4-FFF2-40B4-BE49-F238E27FC236}">
              <a16:creationId xmlns:a16="http://schemas.microsoft.com/office/drawing/2014/main" id="{A7F2EDB9-53F5-48C1-8500-9504E2BFBBCD}"/>
            </a:ext>
          </a:extLst>
        </xdr:cNvPr>
        <xdr:cNvSpPr/>
      </xdr:nvSpPr>
      <xdr:spPr>
        <a:xfrm>
          <a:off x="10797540" y="624840"/>
          <a:ext cx="1943100" cy="360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2">
                  <a:lumMod val="25000"/>
                </a:schemeClr>
              </a:solidFill>
            </a:rPr>
            <a:t>Revenue per Patient</a:t>
          </a:r>
        </a:p>
      </xdr:txBody>
    </xdr:sp>
    <xdr:clientData/>
  </xdr:twoCellAnchor>
  <xdr:twoCellAnchor editAs="oneCell">
    <xdr:from>
      <xdr:col>0</xdr:col>
      <xdr:colOff>121920</xdr:colOff>
      <xdr:row>10</xdr:row>
      <xdr:rowOff>83820</xdr:rowOff>
    </xdr:from>
    <xdr:to>
      <xdr:col>2</xdr:col>
      <xdr:colOff>521790</xdr:colOff>
      <xdr:row>18</xdr:row>
      <xdr:rowOff>22860</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4896D472-D3F6-4E8B-8979-52D8EA0C48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920" y="1950720"/>
              <a:ext cx="161145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19</xdr:row>
      <xdr:rowOff>60960</xdr:rowOff>
    </xdr:from>
    <xdr:to>
      <xdr:col>2</xdr:col>
      <xdr:colOff>521790</xdr:colOff>
      <xdr:row>34</xdr:row>
      <xdr:rowOff>112395</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C92557E8-9615-4175-83A2-4D207AF8AF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1920" y="3573780"/>
              <a:ext cx="1611450" cy="279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228600</xdr:colOff>
      <xdr:row>22</xdr:row>
      <xdr:rowOff>167640</xdr:rowOff>
    </xdr:from>
    <xdr:to>
      <xdr:col>23</xdr:col>
      <xdr:colOff>265072</xdr:colOff>
      <xdr:row>38</xdr:row>
      <xdr:rowOff>76200</xdr:rowOff>
    </xdr:to>
    <xdr:graphicFrame macro="">
      <xdr:nvGraphicFramePr>
        <xdr:cNvPr id="9" name="Chart 8">
          <a:extLst>
            <a:ext uri="{FF2B5EF4-FFF2-40B4-BE49-F238E27FC236}">
              <a16:creationId xmlns:a16="http://schemas.microsoft.com/office/drawing/2014/main" id="{33590970-C6D4-4020-B239-1A2F2920E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206781</xdr:colOff>
      <xdr:row>32</xdr:row>
      <xdr:rowOff>30480</xdr:rowOff>
    </xdr:from>
    <xdr:to>
      <xdr:col>2</xdr:col>
      <xdr:colOff>449580</xdr:colOff>
      <xdr:row>33</xdr:row>
      <xdr:rowOff>177207</xdr:rowOff>
    </xdr:to>
    <xdr:sp macro="[0]!ResetFilters" textlink="">
      <xdr:nvSpPr>
        <xdr:cNvPr id="14" name="Rectangle: Rounded Corners 13">
          <a:extLst>
            <a:ext uri="{FF2B5EF4-FFF2-40B4-BE49-F238E27FC236}">
              <a16:creationId xmlns:a16="http://schemas.microsoft.com/office/drawing/2014/main" id="{0C56E75C-2407-848D-CF7C-88669B7EAE46}"/>
            </a:ext>
          </a:extLst>
        </xdr:cNvPr>
        <xdr:cNvSpPr/>
      </xdr:nvSpPr>
      <xdr:spPr>
        <a:xfrm>
          <a:off x="206781" y="5920740"/>
          <a:ext cx="1454379" cy="329607"/>
        </a:xfrm>
        <a:prstGeom prst="roundRect">
          <a:avLst>
            <a:gd name="adj" fmla="val 7635"/>
          </a:avLst>
        </a:prstGeom>
        <a:solidFill>
          <a:srgbClr val="246984"/>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0"/>
            <a:t>Reset Filters</a:t>
          </a:r>
        </a:p>
      </xdr:txBody>
    </xdr:sp>
    <xdr:clientData/>
  </xdr:twoCellAnchor>
  <xdr:twoCellAnchor>
    <xdr:from>
      <xdr:col>16</xdr:col>
      <xdr:colOff>45720</xdr:colOff>
      <xdr:row>0</xdr:row>
      <xdr:rowOff>129540</xdr:rowOff>
    </xdr:from>
    <xdr:to>
      <xdr:col>22</xdr:col>
      <xdr:colOff>579120</xdr:colOff>
      <xdr:row>1</xdr:row>
      <xdr:rowOff>152400</xdr:rowOff>
    </xdr:to>
    <xdr:sp macro="" textlink="">
      <xdr:nvSpPr>
        <xdr:cNvPr id="23" name="TextBox 22">
          <a:extLst>
            <a:ext uri="{FF2B5EF4-FFF2-40B4-BE49-F238E27FC236}">
              <a16:creationId xmlns:a16="http://schemas.microsoft.com/office/drawing/2014/main" id="{03BD95B3-C506-5FEA-57D4-B9483C494D92}"/>
            </a:ext>
          </a:extLst>
        </xdr:cNvPr>
        <xdr:cNvSpPr txBox="1"/>
      </xdr:nvSpPr>
      <xdr:spPr>
        <a:xfrm>
          <a:off x="9791700" y="129540"/>
          <a:ext cx="41910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bg1">
                  <a:alpha val="90000"/>
                </a:schemeClr>
              </a:solidFill>
              <a:effectLst/>
              <a:latin typeface="+mn-lt"/>
              <a:ea typeface="+mn-ea"/>
              <a:cs typeface="+mn-cs"/>
            </a:rPr>
            <a:t>Cancer highest revenue ($2.1M) | COPD longest stay (19 days)</a:t>
          </a:r>
          <a:endParaRPr lang="en-IN" sz="1200">
            <a:solidFill>
              <a:schemeClr val="bg1">
                <a:alpha val="90000"/>
              </a:schemeClr>
            </a:solidFill>
            <a:effectLst/>
          </a:endParaRPr>
        </a:p>
        <a:p>
          <a:endParaRPr lang="en-IN" sz="1100">
            <a:solidFill>
              <a:schemeClr val="dk1">
                <a:alpha val="9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2.842834722222" createdVersion="8" refreshedVersion="8" minRefreshableVersion="3" recordCount="986" xr:uid="{79DF7B7D-7EB7-4D54-9C47-4DFA0F87DE9C}">
  <cacheSource type="worksheet">
    <worksheetSource ref="A1:N987" sheet="clean_data"/>
  </cacheSource>
  <cacheFields count="14">
    <cacheField name="Patient ID" numFmtId="0">
      <sharedItems/>
    </cacheField>
    <cacheField name="Name" numFmtId="0">
      <sharedItems/>
    </cacheField>
    <cacheField name="Date of Birth" numFmtId="14">
      <sharedItems containsSemiMixedTypes="0" containsNonDate="0" containsDate="1" containsString="0" minDate="1923-09-17T00:00:00" maxDate="2023-12-24T00:00:00"/>
    </cacheField>
    <cacheField name="Gender" numFmtId="0">
      <sharedItems count="2">
        <s v="Female"/>
        <s v="Male"/>
      </sharedItems>
    </cacheField>
    <cacheField name=" " numFmtId="0">
      <sharedItems count="29">
        <s v="Cancer"/>
        <s v="Kidney Disease"/>
        <s v="Heart Disease"/>
        <s v="COVID-19"/>
        <s v="Stroke"/>
        <s v="MS"/>
        <s v="Alzheimer"/>
        <s v="COPD"/>
        <s v="Pneumonia"/>
        <s v="Parkinson"/>
        <s v="Epilepsy"/>
        <s v="Fracture"/>
        <s v="Arthritis"/>
        <s v="Diabetes"/>
        <s v="Hypertension"/>
        <s v="Anxiety"/>
        <s v="Depression"/>
        <s v="Asthma"/>
        <s v="Influenza"/>
        <s v="Sinusitis"/>
        <s v="Burns"/>
        <s v="Sprain"/>
        <s v="UTI"/>
        <s v="Migraine"/>
        <s v="Bronchitis"/>
        <s v="Gastroenteritis"/>
        <s v="Allergies"/>
        <s v="Skin Infection"/>
        <s v="Common Cold"/>
      </sharedItems>
    </cacheField>
    <cacheField name="Treatments" numFmtId="0">
      <sharedItems/>
    </cacheField>
    <cacheField name="Doctor's Notes" numFmtId="0">
      <sharedItems/>
    </cacheField>
    <cacheField name="Admit Date" numFmtId="14">
      <sharedItems containsSemiMixedTypes="0" containsNonDate="0" containsDate="1" containsString="0" minDate="2021-07-12T00:00:00" maxDate="2024-07-12T00:00:00"/>
    </cacheField>
    <cacheField name="Discharge Date" numFmtId="14">
      <sharedItems containsSemiMixedTypes="0" containsNonDate="0" containsDate="1" containsString="0" minDate="2021-07-13T00:00:00" maxDate="2024-08-04T00:00:00"/>
    </cacheField>
    <cacheField name="Bill Amount" numFmtId="164">
      <sharedItems containsSemiMixedTypes="0" containsString="0" containsNumber="1" minValue="102.55" maxValue="99769.22"/>
    </cacheField>
    <cacheField name="Length of Stay" numFmtId="1">
      <sharedItems containsSemiMixedTypes="0" containsString="0" containsNumber="1" containsInteger="1" minValue="1" maxValue="30"/>
    </cacheField>
    <cacheField name="Month" numFmtId="0">
      <sharedItems count="12">
        <s v="Dec"/>
        <s v="Jan"/>
        <s v="Jul"/>
        <s v="Nov"/>
        <s v="Jun"/>
        <s v="May"/>
        <s v="Sep"/>
        <s v="Aug"/>
        <s v="Oct"/>
        <s v="Apr"/>
        <s v="Mar"/>
        <s v="Feb"/>
      </sharedItems>
    </cacheField>
    <cacheField name="Year" numFmtId="0">
      <sharedItems containsSemiMixedTypes="0" containsString="0" containsNumber="1" containsInteger="1" minValue="2021" maxValue="2024" count="4">
        <n v="2022"/>
        <n v="2023"/>
        <n v="2021"/>
        <n v="2024"/>
      </sharedItems>
    </cacheField>
    <cacheField name="Age" numFmtId="0">
      <sharedItems containsSemiMixedTypes="0" containsString="0" containsNumber="1" containsInteger="1" minValue="0" maxValue="100"/>
    </cacheField>
  </cacheFields>
  <extLst>
    <ext xmlns:x14="http://schemas.microsoft.com/office/spreadsheetml/2009/9/main" uri="{725AE2AE-9491-48be-B2B4-4EB974FC3084}">
      <x14:pivotCacheDefinition pivotCacheId="2129603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6">
  <r>
    <s v="ddef52d2-7c7d-4d4a-be24-db2c33ce2ec5"/>
    <s v="Rebecca Mccoy"/>
    <d v="1924-04-21T00:00:00"/>
    <x v="0"/>
    <x v="0"/>
    <s v="Surgery"/>
    <s v="Discussed surgical options and potential outcomes."/>
    <d v="2022-12-12T00:00:00"/>
    <d v="2023-01-08T00:00:00"/>
    <n v="99769.22"/>
    <n v="27"/>
    <x v="0"/>
    <x v="0"/>
    <n v="98"/>
  </r>
  <r>
    <s v="8b81bf12-2f4a-4a9b-a8fb-cb69738e3fa7"/>
    <s v="Jordan Mitchell"/>
    <d v="1940-11-09T00:00:00"/>
    <x v="1"/>
    <x v="0"/>
    <s v="Chemotherapy"/>
    <s v="Discussed surgical options and potential outcomes."/>
    <d v="2023-01-06T00:00:00"/>
    <d v="2023-01-08T00:00:00"/>
    <n v="98557.17"/>
    <n v="2"/>
    <x v="1"/>
    <x v="1"/>
    <n v="82"/>
  </r>
  <r>
    <s v="ad2742d9-b36d-4ba0-928a-8f8527e4c89e"/>
    <s v="Michael Harris"/>
    <d v="1973-07-14T00:00:00"/>
    <x v="1"/>
    <x v="0"/>
    <s v="Radiation Therapy"/>
    <s v="Scheduled for radiation therapy next week."/>
    <d v="2022-07-06T00:00:00"/>
    <d v="2022-07-15T00:00:00"/>
    <n v="96312.07"/>
    <n v="9"/>
    <x v="2"/>
    <x v="0"/>
    <n v="48"/>
  </r>
  <r>
    <s v="6ca1f52d-57f7-4f93-8564-27e35810c3e6"/>
    <s v="Kyle Johnson"/>
    <d v="1980-10-31T00:00:00"/>
    <x v="0"/>
    <x v="0"/>
    <s v="Surgery"/>
    <s v="Scheduled for radiation therapy next week."/>
    <d v="2022-11-03T00:00:00"/>
    <d v="2022-11-14T00:00:00"/>
    <n v="91683.71"/>
    <n v="11"/>
    <x v="3"/>
    <x v="0"/>
    <n v="42"/>
  </r>
  <r>
    <s v="1608af13-1733-41ef-b773-f43c6d2782ca"/>
    <s v="Melissa Powell"/>
    <d v="1977-08-30T00:00:00"/>
    <x v="0"/>
    <x v="0"/>
    <s v="Surgery"/>
    <s v="Scheduled for radiation therapy next week."/>
    <d v="2022-06-16T00:00:00"/>
    <d v="2022-06-29T00:00:00"/>
    <n v="91310.99"/>
    <n v="13"/>
    <x v="4"/>
    <x v="0"/>
    <n v="44"/>
  </r>
  <r>
    <s v="3578865c-c245-45ab-ba82-5271d762990c"/>
    <s v="Daniel Robinson"/>
    <d v="1966-05-21T00:00:00"/>
    <x v="0"/>
    <x v="0"/>
    <s v="Chemotherapy"/>
    <s v="Scheduled for radiation therapy next week."/>
    <d v="2022-12-01T00:00:00"/>
    <d v="2022-12-15T00:00:00"/>
    <n v="90128.72"/>
    <n v="14"/>
    <x v="0"/>
    <x v="0"/>
    <n v="56"/>
  </r>
  <r>
    <s v="d279b034-7237-4fa3-959e-bc0c4161af9f"/>
    <s v="Mitchell Smith"/>
    <d v="2004-12-17T00:00:00"/>
    <x v="1"/>
    <x v="0"/>
    <s v="Surgery"/>
    <s v="Chemotherapy regimen started; patient informed of side effects."/>
    <d v="2023-07-19T00:00:00"/>
    <d v="2023-07-27T00:00:00"/>
    <n v="89987.42"/>
    <n v="8"/>
    <x v="2"/>
    <x v="1"/>
    <n v="18"/>
  </r>
  <r>
    <s v="26d2ad27-6e83-4c92-bc93-7465e0a06e5a"/>
    <s v="Jennifer King"/>
    <d v="1998-05-18T00:00:00"/>
    <x v="0"/>
    <x v="0"/>
    <s v="Surgery"/>
    <s v="Discussed surgical options and potential outcomes."/>
    <d v="2023-05-04T00:00:00"/>
    <d v="2023-05-12T00:00:00"/>
    <n v="82968.960000000006"/>
    <n v="8"/>
    <x v="5"/>
    <x v="1"/>
    <n v="24"/>
  </r>
  <r>
    <s v="13b6714e-6e47-4d5b-bf5b-de6024c9e08f"/>
    <s v="James Case"/>
    <d v="1935-06-04T00:00:00"/>
    <x v="1"/>
    <x v="0"/>
    <s v="Radiation Therapy"/>
    <s v="Scheduled for radiation therapy next week."/>
    <d v="2021-09-14T00:00:00"/>
    <d v="2021-09-18T00:00:00"/>
    <n v="77649.09"/>
    <n v="4"/>
    <x v="6"/>
    <x v="2"/>
    <n v="86"/>
  </r>
  <r>
    <s v="3c40ed4c-6fcd-45e6-97af-fe1c517f41a0"/>
    <s v="Valerie Carter"/>
    <d v="1963-06-01T00:00:00"/>
    <x v="0"/>
    <x v="0"/>
    <s v="Chemotherapy"/>
    <s v="Scheduled for radiation therapy next week."/>
    <d v="2022-08-27T00:00:00"/>
    <d v="2022-09-10T00:00:00"/>
    <n v="74873.58"/>
    <n v="14"/>
    <x v="7"/>
    <x v="0"/>
    <n v="59"/>
  </r>
  <r>
    <s v="88462a18-95ea-4b67-837b-aa171ecead75"/>
    <s v="Cassandra Miller"/>
    <d v="1983-04-27T00:00:00"/>
    <x v="0"/>
    <x v="0"/>
    <s v="Chemotherapy"/>
    <s v="Scheduled for radiation therapy next week."/>
    <d v="2021-07-24T00:00:00"/>
    <d v="2021-08-09T00:00:00"/>
    <n v="73896.19"/>
    <n v="16"/>
    <x v="2"/>
    <x v="2"/>
    <n v="38"/>
  </r>
  <r>
    <s v="8d7b3cd7-1ca4-44c8-9970-7fd605dafb07"/>
    <s v="Taylor Myers"/>
    <d v="1978-05-06T00:00:00"/>
    <x v="0"/>
    <x v="0"/>
    <s v="Radiation Therapy"/>
    <s v="Discussed surgical options and potential outcomes."/>
    <d v="2021-08-04T00:00:00"/>
    <d v="2021-08-10T00:00:00"/>
    <n v="73517.149999999994"/>
    <n v="6"/>
    <x v="7"/>
    <x v="2"/>
    <n v="43"/>
  </r>
  <r>
    <s v="3beb657d-2ef6-42bd-bd92-989791efc764"/>
    <s v="John Ortiz"/>
    <d v="2021-12-01T00:00:00"/>
    <x v="1"/>
    <x v="0"/>
    <s v="Chemotherapy"/>
    <s v="Chemotherapy regimen started; patient informed of side effects."/>
    <d v="2022-10-06T00:00:00"/>
    <d v="2022-11-01T00:00:00"/>
    <n v="70410.649999999994"/>
    <n v="26"/>
    <x v="8"/>
    <x v="0"/>
    <n v="0"/>
  </r>
  <r>
    <s v="2bd14982-84ba-459e-a2da-364805237e4c"/>
    <s v="Shelley Meyer"/>
    <d v="2002-11-16T00:00:00"/>
    <x v="0"/>
    <x v="0"/>
    <s v="Radiation Therapy"/>
    <s v="Chemotherapy regimen started; patient informed of side effects."/>
    <d v="2023-12-04T00:00:00"/>
    <d v="2024-01-03T00:00:00"/>
    <n v="69668.87"/>
    <n v="30"/>
    <x v="0"/>
    <x v="1"/>
    <n v="21"/>
  </r>
  <r>
    <s v="dcd74605-703c-4a87-9fe1-376447a0d8c4"/>
    <s v="Jennifer Shannon"/>
    <d v="1987-09-27T00:00:00"/>
    <x v="0"/>
    <x v="0"/>
    <s v="Surgery"/>
    <s v="Chemotherapy regimen started; patient informed of side effects."/>
    <d v="2024-06-08T00:00:00"/>
    <d v="2024-06-28T00:00:00"/>
    <n v="67424.22"/>
    <n v="20"/>
    <x v="4"/>
    <x v="3"/>
    <n v="36"/>
  </r>
  <r>
    <s v="24772bfa-fb2c-4b57-b06e-166cd7b93523"/>
    <s v="Joseph Cross"/>
    <d v="2020-10-20T00:00:00"/>
    <x v="1"/>
    <x v="0"/>
    <s v="Surgery"/>
    <s v="Chemotherapy regimen started; patient informed of side effects."/>
    <d v="2023-09-13T00:00:00"/>
    <d v="2023-09-19T00:00:00"/>
    <n v="66497.34"/>
    <n v="6"/>
    <x v="6"/>
    <x v="1"/>
    <n v="2"/>
  </r>
  <r>
    <s v="a59a0ff3-2b84-4b6e-89fc-51c376dba430"/>
    <s v="Frank Guerra"/>
    <d v="1959-12-19T00:00:00"/>
    <x v="0"/>
    <x v="0"/>
    <s v="Radiation Therapy"/>
    <s v="Chemotherapy regimen started; patient informed of side effects."/>
    <d v="2023-12-01T00:00:00"/>
    <d v="2023-12-03T00:00:00"/>
    <n v="60642.52"/>
    <n v="2"/>
    <x v="0"/>
    <x v="1"/>
    <n v="63"/>
  </r>
  <r>
    <s v="107f8aa0-610d-4f43-b1c5-05ea582b7793"/>
    <s v="Lori Gay"/>
    <d v="1936-12-27T00:00:00"/>
    <x v="0"/>
    <x v="0"/>
    <s v="Chemotherapy"/>
    <s v="Discussed surgical options and potential outcomes."/>
    <d v="2022-04-14T00:00:00"/>
    <d v="2022-04-17T00:00:00"/>
    <n v="60452.7"/>
    <n v="3"/>
    <x v="9"/>
    <x v="0"/>
    <n v="85"/>
  </r>
  <r>
    <s v="a3532f14-7b87-475d-a05c-7d7ba8046201"/>
    <s v="Sandra Green"/>
    <d v="1998-06-14T00:00:00"/>
    <x v="1"/>
    <x v="0"/>
    <s v="Surgery"/>
    <s v="Chemotherapy regimen started; patient informed of side effects."/>
    <d v="2021-12-22T00:00:00"/>
    <d v="2022-01-19T00:00:00"/>
    <n v="60079.35"/>
    <n v="28"/>
    <x v="0"/>
    <x v="2"/>
    <n v="23"/>
  </r>
  <r>
    <s v="5e5c8d0c-1b25-4004-95d8-0454e1d818e9"/>
    <s v="Felicia Greene"/>
    <d v="1942-02-10T00:00:00"/>
    <x v="1"/>
    <x v="0"/>
    <s v="Radiation Therapy"/>
    <s v="Scheduled for radiation therapy next week."/>
    <d v="2021-09-30T00:00:00"/>
    <d v="2021-10-08T00:00:00"/>
    <n v="56380.86"/>
    <n v="8"/>
    <x v="6"/>
    <x v="2"/>
    <n v="79"/>
  </r>
  <r>
    <s v="22aa5f7d-0397-4c22-959a-6d1493d566fb"/>
    <s v="Kathleen Woods"/>
    <d v="1986-07-22T00:00:00"/>
    <x v="0"/>
    <x v="0"/>
    <s v="Radiation Therapy"/>
    <s v="Scheduled for radiation therapy next week."/>
    <d v="2023-11-19T00:00:00"/>
    <d v="2023-11-27T00:00:00"/>
    <n v="55578.6"/>
    <n v="8"/>
    <x v="3"/>
    <x v="1"/>
    <n v="37"/>
  </r>
  <r>
    <s v="d48ca678-265e-42e4-86b0-3104b49c5d6d"/>
    <s v="Anthony Harris"/>
    <d v="1997-06-08T00:00:00"/>
    <x v="1"/>
    <x v="0"/>
    <s v="Surgery"/>
    <s v="Discussed surgical options and potential outcomes."/>
    <d v="2023-09-20T00:00:00"/>
    <d v="2023-10-18T00:00:00"/>
    <n v="55307.76"/>
    <n v="28"/>
    <x v="6"/>
    <x v="1"/>
    <n v="26"/>
  </r>
  <r>
    <s v="734a6dec-374e-404a-a032-8dec73d5f1b7"/>
    <s v="Lisa Roberts"/>
    <d v="1962-07-01T00:00:00"/>
    <x v="0"/>
    <x v="1"/>
    <s v="Dialysis"/>
    <s v="Advised on dietary restrictions to support kidney function."/>
    <d v="2021-10-01T00:00:00"/>
    <d v="2021-10-07T00:00:00"/>
    <n v="49858.44"/>
    <n v="6"/>
    <x v="8"/>
    <x v="2"/>
    <n v="59"/>
  </r>
  <r>
    <s v="40390e5f-e8e1-45fa-b454-c84c7e387cdb"/>
    <s v="Mary Dixon"/>
    <d v="1928-06-10T00:00:00"/>
    <x v="1"/>
    <x v="2"/>
    <s v="Surgery"/>
    <s v="Prescribed beta-blockers and statins."/>
    <d v="2022-09-21T00:00:00"/>
    <d v="2022-10-21T00:00:00"/>
    <n v="49163.76"/>
    <n v="30"/>
    <x v="6"/>
    <x v="0"/>
    <n v="94"/>
  </r>
  <r>
    <s v="3c4831ba-1868-4451-a02b-afc5b5035cf4"/>
    <s v="Michelle Bates"/>
    <d v="2007-04-15T00:00:00"/>
    <x v="0"/>
    <x v="2"/>
    <s v="Surgery"/>
    <s v="Patient referred for cardiac catheterization."/>
    <d v="2022-03-27T00:00:00"/>
    <d v="2022-04-24T00:00:00"/>
    <n v="49010.2"/>
    <n v="28"/>
    <x v="10"/>
    <x v="0"/>
    <n v="14"/>
  </r>
  <r>
    <s v="086376f1-f701-42a8-92a6-021b1e84b841"/>
    <s v="Jennifer Patel"/>
    <d v="1983-01-03T00:00:00"/>
    <x v="1"/>
    <x v="3"/>
    <s v="Ventilation"/>
    <s v="Oxygen therapy administered for low blood oxygen levels."/>
    <d v="2023-05-03T00:00:00"/>
    <d v="2023-05-29T00:00:00"/>
    <n v="48494.96"/>
    <n v="26"/>
    <x v="5"/>
    <x v="1"/>
    <n v="40"/>
  </r>
  <r>
    <s v="f9842e4a-88eb-452b-8968-167315010ba5"/>
    <s v="Miss Patricia Butler DVM"/>
    <d v="2020-05-29T00:00:00"/>
    <x v="0"/>
    <x v="1"/>
    <s v="Medication"/>
    <s v="Patient started on dialysis; discussed procedure and schedule."/>
    <d v="2021-09-22T00:00:00"/>
    <d v="2021-10-09T00:00:00"/>
    <n v="48452.66"/>
    <n v="17"/>
    <x v="6"/>
    <x v="2"/>
    <n v="1"/>
  </r>
  <r>
    <s v="18a63bc1-28da-44e9-9c68-d5a039765e67"/>
    <s v="David Chang"/>
    <d v="2009-12-05T00:00:00"/>
    <x v="1"/>
    <x v="2"/>
    <s v="Medication"/>
    <s v="Discussed surgical options for coronary artery disease."/>
    <d v="2024-05-03T00:00:00"/>
    <d v="2024-05-11T00:00:00"/>
    <n v="48269.72"/>
    <n v="8"/>
    <x v="5"/>
    <x v="3"/>
    <n v="14"/>
  </r>
  <r>
    <s v="f19e9aac-015b-4bf3-a484-6cb957a919d9"/>
    <s v="Mia Roberts"/>
    <d v="2018-08-21T00:00:00"/>
    <x v="1"/>
    <x v="3"/>
    <s v="Antiviral Drugs"/>
    <s v="Monitor for any signs of respiratory failure."/>
    <d v="2022-01-09T00:00:00"/>
    <d v="2022-02-05T00:00:00"/>
    <n v="48070.1"/>
    <n v="27"/>
    <x v="1"/>
    <x v="0"/>
    <n v="3"/>
  </r>
  <r>
    <s v="a99eae1e-1134-43ee-b1ea-38e51603541a"/>
    <s v="Nicole Vance"/>
    <d v="1932-12-28T00:00:00"/>
    <x v="0"/>
    <x v="3"/>
    <s v="Oxygen Therapy"/>
    <s v="Oxygen therapy administered for low blood oxygen levels."/>
    <d v="2022-09-18T00:00:00"/>
    <d v="2022-09-24T00:00:00"/>
    <n v="47984.27"/>
    <n v="6"/>
    <x v="6"/>
    <x v="0"/>
    <n v="89"/>
  </r>
  <r>
    <s v="b9547b1c-7570-4fa5-a943-c3b1ea66387b"/>
    <s v="Russell Branch"/>
    <d v="2006-03-15T00:00:00"/>
    <x v="1"/>
    <x v="1"/>
    <s v="Medication"/>
    <s v="Advised on dietary restrictions to support kidney function."/>
    <d v="2022-10-06T00:00:00"/>
    <d v="2022-11-02T00:00:00"/>
    <n v="47867.26"/>
    <n v="27"/>
    <x v="8"/>
    <x v="0"/>
    <n v="16"/>
  </r>
  <r>
    <s v="18fd7f63-5dd0-40a4-8c38-db0d1c8e62e8"/>
    <s v="Kelly Skinner"/>
    <d v="2008-11-02T00:00:00"/>
    <x v="0"/>
    <x v="2"/>
    <s v="Medication"/>
    <s v="Prescribed beta-blockers and statins."/>
    <d v="2021-10-04T00:00:00"/>
    <d v="2021-10-09T00:00:00"/>
    <n v="47848.06"/>
    <n v="5"/>
    <x v="8"/>
    <x v="2"/>
    <n v="12"/>
  </r>
  <r>
    <s v="14d662e1-a9c5-49e7-8b6f-e701d7de0b0b"/>
    <s v="Mary Moore"/>
    <d v="1943-11-20T00:00:00"/>
    <x v="1"/>
    <x v="1"/>
    <s v="Dialysis"/>
    <s v="Advised on dietary restrictions to support kidney function."/>
    <d v="2021-08-30T00:00:00"/>
    <d v="2021-09-09T00:00:00"/>
    <n v="47724.71"/>
    <n v="10"/>
    <x v="7"/>
    <x v="2"/>
    <n v="77"/>
  </r>
  <r>
    <s v="b60511f9-c9c0-4fe3-889e-0634f3d3cea2"/>
    <s v="Jonathan Martinez"/>
    <d v="1999-06-18T00:00:00"/>
    <x v="1"/>
    <x v="1"/>
    <s v="Medication"/>
    <s v="Advised on dietary restrictions to support kidney function."/>
    <d v="2023-03-06T00:00:00"/>
    <d v="2023-04-03T00:00:00"/>
    <n v="47630.41"/>
    <n v="28"/>
    <x v="10"/>
    <x v="1"/>
    <n v="23"/>
  </r>
  <r>
    <s v="3d0a7160-dca4-4ea0-af94-4cd3f6092524"/>
    <s v="John Mclaughlin"/>
    <d v="1944-04-20T00:00:00"/>
    <x v="1"/>
    <x v="3"/>
    <s v="Antiviral Drugs"/>
    <s v="Oxygen therapy administered for low blood oxygen levels."/>
    <d v="2023-04-18T00:00:00"/>
    <d v="2023-04-30T00:00:00"/>
    <n v="46844.39"/>
    <n v="12"/>
    <x v="9"/>
    <x v="1"/>
    <n v="78"/>
  </r>
  <r>
    <s v="32ed6be2-2358-41a7-a5ff-026bb7b9fe89"/>
    <s v="Tammy Garcia"/>
    <d v="2017-08-07T00:00:00"/>
    <x v="1"/>
    <x v="1"/>
    <s v="Medication"/>
    <s v="Patient started on dialysis; discussed procedure and schedule."/>
    <d v="2022-10-06T00:00:00"/>
    <d v="2022-10-11T00:00:00"/>
    <n v="46178.239999999998"/>
    <n v="5"/>
    <x v="8"/>
    <x v="0"/>
    <n v="5"/>
  </r>
  <r>
    <s v="b0e48be1-5af1-4abe-a648-91517ad5198c"/>
    <s v="Tiffany Davis"/>
    <d v="2001-12-10T00:00:00"/>
    <x v="1"/>
    <x v="1"/>
    <s v="Medication"/>
    <s v="Prescribed medication to manage blood pressure and protect kidneys."/>
    <d v="2024-06-13T00:00:00"/>
    <d v="2024-06-22T00:00:00"/>
    <n v="45674.34"/>
    <n v="9"/>
    <x v="4"/>
    <x v="3"/>
    <n v="22"/>
  </r>
  <r>
    <s v="685de05b-cd1d-482e-b347-ec21367ac2e1"/>
    <s v="James Jackson"/>
    <d v="1970-03-05T00:00:00"/>
    <x v="0"/>
    <x v="1"/>
    <s v="Dialysis"/>
    <s v="Patient started on dialysis; discussed procedure and schedule."/>
    <d v="2022-03-25T00:00:00"/>
    <d v="2022-04-22T00:00:00"/>
    <n v="44744.9"/>
    <n v="28"/>
    <x v="10"/>
    <x v="0"/>
    <n v="52"/>
  </r>
  <r>
    <s v="e8c5956b-3b60-4940-bccf-e8f196a4e8d3"/>
    <s v="Robin Jones"/>
    <d v="1958-02-22T00:00:00"/>
    <x v="1"/>
    <x v="0"/>
    <s v="Radiation Therapy"/>
    <s v="Chemotherapy regimen started; patient informed of side effects."/>
    <d v="2022-07-12T00:00:00"/>
    <d v="2022-07-13T00:00:00"/>
    <n v="44687.63"/>
    <n v="1"/>
    <x v="2"/>
    <x v="0"/>
    <n v="64"/>
  </r>
  <r>
    <s v="fd42bedd-6b2b-4dd2-b657-0cf95ae5c315"/>
    <s v="Michael Wilson"/>
    <d v="1935-05-23T00:00:00"/>
    <x v="1"/>
    <x v="3"/>
    <s v="Antiviral Drugs"/>
    <s v="Patient tested positive for COVID-19; started on antiviral drugs."/>
    <d v="2024-03-29T00:00:00"/>
    <d v="2024-03-30T00:00:00"/>
    <n v="44409.57"/>
    <n v="1"/>
    <x v="10"/>
    <x v="3"/>
    <n v="88"/>
  </r>
  <r>
    <s v="ee18154d-7ba8-4b82-a554-44edd0f83523"/>
    <s v="Joshua Bates"/>
    <d v="1965-03-08T00:00:00"/>
    <x v="1"/>
    <x v="1"/>
    <s v="Medication"/>
    <s v="Advised on dietary restrictions to support kidney function."/>
    <d v="2023-04-27T00:00:00"/>
    <d v="2023-05-14T00:00:00"/>
    <n v="43294.16"/>
    <n v="17"/>
    <x v="9"/>
    <x v="1"/>
    <n v="58"/>
  </r>
  <r>
    <s v="b7f28f03-bcf6-4fe2-8826-8f63c18bc1d9"/>
    <s v="Martin Rhodes"/>
    <d v="1942-01-03T00:00:00"/>
    <x v="1"/>
    <x v="0"/>
    <s v="Radiation Therapy"/>
    <s v="Scheduled for radiation therapy next week."/>
    <d v="2022-01-05T00:00:00"/>
    <d v="2022-01-24T00:00:00"/>
    <n v="42818.23"/>
    <n v="19"/>
    <x v="1"/>
    <x v="0"/>
    <n v="80"/>
  </r>
  <r>
    <s v="3d970980-b414-45e1-87c5-78a69351b4c0"/>
    <s v="Deborah Holmes"/>
    <d v="1990-06-08T00:00:00"/>
    <x v="1"/>
    <x v="2"/>
    <s v="Surgery"/>
    <s v="Patient referred for cardiac catheterization."/>
    <d v="2022-10-02T00:00:00"/>
    <d v="2022-10-17T00:00:00"/>
    <n v="42814.66"/>
    <n v="15"/>
    <x v="8"/>
    <x v="0"/>
    <n v="32"/>
  </r>
  <r>
    <s v="77ed7075-2c89-4ab2-b9f7-027f1c70d173"/>
    <s v="Stephanie Brown"/>
    <d v="1974-11-30T00:00:00"/>
    <x v="1"/>
    <x v="1"/>
    <s v="Medication"/>
    <s v="Advised on dietary restrictions to support kidney function."/>
    <d v="2022-11-12T00:00:00"/>
    <d v="2022-12-02T00:00:00"/>
    <n v="42477.78"/>
    <n v="20"/>
    <x v="3"/>
    <x v="0"/>
    <n v="47"/>
  </r>
  <r>
    <s v="af59b9ab-370b-4df4-8a06-d589d27507f8"/>
    <s v="Jacqueline Guzman"/>
    <d v="1944-08-31T00:00:00"/>
    <x v="0"/>
    <x v="3"/>
    <s v="Antiviral Drugs"/>
    <s v="Patient tested positive for COVID-19; started on antiviral drugs."/>
    <d v="2023-06-08T00:00:00"/>
    <d v="2023-07-03T00:00:00"/>
    <n v="42218.98"/>
    <n v="25"/>
    <x v="4"/>
    <x v="1"/>
    <n v="78"/>
  </r>
  <r>
    <s v="bb2af2c6-fec4-4d5c-99ae-c747f419d6ca"/>
    <s v="Sharon Williams"/>
    <d v="1944-04-24T00:00:00"/>
    <x v="1"/>
    <x v="0"/>
    <s v="Surgery"/>
    <s v="Chemotherapy regimen started; patient informed of side effects."/>
    <d v="2023-05-27T00:00:00"/>
    <d v="2023-06-21T00:00:00"/>
    <n v="41935.279999999999"/>
    <n v="25"/>
    <x v="5"/>
    <x v="1"/>
    <n v="79"/>
  </r>
  <r>
    <s v="417c73a0-0f95-46b4-a0cd-dbf48079eb1b"/>
    <s v="John Smith MD"/>
    <d v="1957-01-12T00:00:00"/>
    <x v="0"/>
    <x v="2"/>
    <s v="Surgery"/>
    <s v="Discussed surgical options for coronary artery disease."/>
    <d v="2023-02-09T00:00:00"/>
    <d v="2023-03-04T00:00:00"/>
    <n v="41916.629999999997"/>
    <n v="23"/>
    <x v="11"/>
    <x v="1"/>
    <n v="66"/>
  </r>
  <r>
    <s v="c08f3cb5-1243-4d76-a419-4ab58b81bd99"/>
    <s v="Isaiah Jackson"/>
    <d v="1970-02-09T00:00:00"/>
    <x v="0"/>
    <x v="2"/>
    <s v="Medication"/>
    <s v="Prescribed beta-blockers and statins."/>
    <d v="2022-03-01T00:00:00"/>
    <d v="2022-03-03T00:00:00"/>
    <n v="41862.74"/>
    <n v="2"/>
    <x v="10"/>
    <x v="0"/>
    <n v="52"/>
  </r>
  <r>
    <s v="d89c04a9-4b85-4ea8-a96a-0ef8efda6b1b"/>
    <s v="Michael White"/>
    <d v="1960-01-18T00:00:00"/>
    <x v="1"/>
    <x v="1"/>
    <s v="Dialysis"/>
    <s v="Patient started on dialysis; discussed procedure and schedule."/>
    <d v="2022-08-29T00:00:00"/>
    <d v="2022-09-15T00:00:00"/>
    <n v="41845.949999999997"/>
    <n v="17"/>
    <x v="7"/>
    <x v="0"/>
    <n v="62"/>
  </r>
  <r>
    <s v="7835e1c6-1aa1-4632-95b2-da4bb0e55a0f"/>
    <s v="Nancy Cherry"/>
    <d v="1944-02-04T00:00:00"/>
    <x v="1"/>
    <x v="2"/>
    <s v="Medication"/>
    <s v="Discussed surgical options for coronary artery disease."/>
    <d v="2023-08-17T00:00:00"/>
    <d v="2023-09-09T00:00:00"/>
    <n v="41795.15"/>
    <n v="23"/>
    <x v="7"/>
    <x v="1"/>
    <n v="79"/>
  </r>
  <r>
    <s v="0261d7a4-2815-4bb4-92c2-76149966664c"/>
    <s v="Brian Kaufman"/>
    <d v="2018-03-24T00:00:00"/>
    <x v="0"/>
    <x v="0"/>
    <s v="Chemotherapy"/>
    <s v="Chemotherapy regimen started; patient informed of side effects."/>
    <d v="2024-01-27T00:00:00"/>
    <d v="2024-01-30T00:00:00"/>
    <n v="41311.870000000003"/>
    <n v="3"/>
    <x v="1"/>
    <x v="3"/>
    <n v="5"/>
  </r>
  <r>
    <s v="40063c47-1a5f-4a60-97e7-e15152015830"/>
    <s v="Julie Russell"/>
    <d v="1948-07-13T00:00:00"/>
    <x v="1"/>
    <x v="3"/>
    <s v="Antiviral Drugs"/>
    <s v="Oxygen therapy administered for low blood oxygen levels."/>
    <d v="2021-08-29T00:00:00"/>
    <d v="2021-09-11T00:00:00"/>
    <n v="40700.44"/>
    <n v="13"/>
    <x v="7"/>
    <x v="2"/>
    <n v="73"/>
  </r>
  <r>
    <s v="d94f8b03-d1c4-49f5-8480-e71ce85b33ce"/>
    <s v="Roy Cook"/>
    <d v="1992-05-29T00:00:00"/>
    <x v="1"/>
    <x v="2"/>
    <s v="Medication"/>
    <s v="Discussed surgical options for coronary artery disease."/>
    <d v="2021-12-25T00:00:00"/>
    <d v="2022-01-20T00:00:00"/>
    <n v="40665.660000000003"/>
    <n v="26"/>
    <x v="0"/>
    <x v="2"/>
    <n v="29"/>
  </r>
  <r>
    <s v="e1f4442e-2f13-4cc7-9c3a-5f34596503e1"/>
    <s v="Levi Todd"/>
    <d v="2001-10-11T00:00:00"/>
    <x v="0"/>
    <x v="0"/>
    <s v="Chemotherapy"/>
    <s v="Discussed surgical options and potential outcomes."/>
    <d v="2022-09-06T00:00:00"/>
    <d v="2022-09-11T00:00:00"/>
    <n v="38930.03"/>
    <n v="5"/>
    <x v="6"/>
    <x v="0"/>
    <n v="20"/>
  </r>
  <r>
    <s v="7606f1ac-24e0-4d6b-95e1-27252e1344ed"/>
    <s v="Angelica Gomez"/>
    <d v="1987-08-08T00:00:00"/>
    <x v="1"/>
    <x v="2"/>
    <s v="Medication"/>
    <s v="Discussed surgical options for coronary artery disease."/>
    <d v="2022-04-05T00:00:00"/>
    <d v="2022-04-18T00:00:00"/>
    <n v="38683.82"/>
    <n v="13"/>
    <x v="9"/>
    <x v="0"/>
    <n v="34"/>
  </r>
  <r>
    <s v="902496fd-df73-497f-8c86-84d3f342d3fc"/>
    <s v="Robert Harris"/>
    <d v="1994-06-11T00:00:00"/>
    <x v="1"/>
    <x v="2"/>
    <s v="Surgery"/>
    <s v="Prescribed beta-blockers and statins."/>
    <d v="2022-02-28T00:00:00"/>
    <d v="2022-03-24T00:00:00"/>
    <n v="38081.11"/>
    <n v="24"/>
    <x v="11"/>
    <x v="0"/>
    <n v="27"/>
  </r>
  <r>
    <s v="0672e31b-2394-490d-8d12-efd38a8078ca"/>
    <s v="Katherine Lara"/>
    <d v="1998-12-03T00:00:00"/>
    <x v="1"/>
    <x v="3"/>
    <s v="Antiviral Drugs"/>
    <s v="Oxygen therapy administered for low blood oxygen levels."/>
    <d v="2022-12-13T00:00:00"/>
    <d v="2022-12-21T00:00:00"/>
    <n v="37573.120000000003"/>
    <n v="8"/>
    <x v="0"/>
    <x v="0"/>
    <n v="24"/>
  </r>
  <r>
    <s v="623da97a-e775-41d9-b59d-2b4092194e13"/>
    <s v="Benjamin Harvey"/>
    <d v="1960-08-31T00:00:00"/>
    <x v="1"/>
    <x v="2"/>
    <s v="Medication"/>
    <s v="Prescribed beta-blockers and statins."/>
    <d v="2023-09-10T00:00:00"/>
    <d v="2023-09-28T00:00:00"/>
    <n v="37523.1"/>
    <n v="18"/>
    <x v="6"/>
    <x v="1"/>
    <n v="63"/>
  </r>
  <r>
    <s v="031ac3d0-9f41-4ed1-90be-939ac368dd6c"/>
    <s v="Kenneth Smith"/>
    <d v="1943-10-03T00:00:00"/>
    <x v="1"/>
    <x v="0"/>
    <s v="Radiation Therapy"/>
    <s v="Chemotherapy regimen started; patient informed of side effects."/>
    <d v="2021-08-27T00:00:00"/>
    <d v="2021-09-16T00:00:00"/>
    <n v="37508"/>
    <n v="20"/>
    <x v="7"/>
    <x v="2"/>
    <n v="77"/>
  </r>
  <r>
    <s v="ce245ab8-b106-4151-96a9-5a6475eb9803"/>
    <s v="Michael Stone"/>
    <d v="1988-02-20T00:00:00"/>
    <x v="0"/>
    <x v="1"/>
    <s v="Medication"/>
    <s v="Advised on dietary restrictions to support kidney function."/>
    <d v="2022-10-09T00:00:00"/>
    <d v="2022-10-14T00:00:00"/>
    <n v="36614.949999999997"/>
    <n v="5"/>
    <x v="8"/>
    <x v="0"/>
    <n v="34"/>
  </r>
  <r>
    <s v="f41f54ce-33a2-4946-87b5-9224084cdce1"/>
    <s v="Bernard Ramirez"/>
    <d v="2012-08-12T00:00:00"/>
    <x v="1"/>
    <x v="0"/>
    <s v="Surgery"/>
    <s v="Chemotherapy regimen started; patient informed of side effects."/>
    <d v="2023-10-15T00:00:00"/>
    <d v="2023-11-10T00:00:00"/>
    <n v="36435.730000000003"/>
    <n v="26"/>
    <x v="8"/>
    <x v="1"/>
    <n v="11"/>
  </r>
  <r>
    <s v="b241557b-5b8d-4bbd-a652-c0354b18e897"/>
    <s v="Randy Smith"/>
    <d v="2015-02-11T00:00:00"/>
    <x v="0"/>
    <x v="2"/>
    <s v="Surgery"/>
    <s v="Patient referred for cardiac catheterization."/>
    <d v="2022-04-27T00:00:00"/>
    <d v="2022-05-08T00:00:00"/>
    <n v="36384.39"/>
    <n v="11"/>
    <x v="9"/>
    <x v="0"/>
    <n v="7"/>
  </r>
  <r>
    <s v="caca9386-f07d-4202-a6ea-227259881bf9"/>
    <s v="Carlos Mills"/>
    <d v="1993-01-19T00:00:00"/>
    <x v="0"/>
    <x v="0"/>
    <s v="Chemotherapy"/>
    <s v="Chemotherapy regimen started; patient informed of side effects."/>
    <d v="2024-03-05T00:00:00"/>
    <d v="2024-03-25T00:00:00"/>
    <n v="36285.18"/>
    <n v="20"/>
    <x v="10"/>
    <x v="3"/>
    <n v="31"/>
  </r>
  <r>
    <s v="f766a4fd-63af-4536-b44f-1aa42c8b097f"/>
    <s v="Jill Walker"/>
    <d v="2020-08-13T00:00:00"/>
    <x v="1"/>
    <x v="1"/>
    <s v="Dialysis"/>
    <s v="Patient started on dialysis; discussed procedure and schedule."/>
    <d v="2022-10-12T00:00:00"/>
    <d v="2022-10-26T00:00:00"/>
    <n v="36044.839999999997"/>
    <n v="14"/>
    <x v="8"/>
    <x v="0"/>
    <n v="2"/>
  </r>
  <r>
    <s v="01b54189-24a2-45bc-938e-ff761db99f51"/>
    <s v="Alexa Smith"/>
    <d v="1964-01-05T00:00:00"/>
    <x v="0"/>
    <x v="1"/>
    <s v="Medication"/>
    <s v="Advised on dietary restrictions to support kidney function."/>
    <d v="2022-04-09T00:00:00"/>
    <d v="2022-04-18T00:00:00"/>
    <n v="35988.6"/>
    <n v="9"/>
    <x v="9"/>
    <x v="0"/>
    <n v="58"/>
  </r>
  <r>
    <s v="3cccf679-d750-4180-8290-4f9f51c880aa"/>
    <s v="Caleb Bass"/>
    <d v="1981-08-29T00:00:00"/>
    <x v="1"/>
    <x v="0"/>
    <s v="Radiation Therapy"/>
    <s v="Chemotherapy regimen started; patient informed of side effects."/>
    <d v="2023-09-12T00:00:00"/>
    <d v="2023-09-23T00:00:00"/>
    <n v="34893.279999999999"/>
    <n v="11"/>
    <x v="6"/>
    <x v="1"/>
    <n v="42"/>
  </r>
  <r>
    <s v="8b5e71eb-073b-4a12-a6a8-e33d1f1c5a79"/>
    <s v="Dustin Knapp"/>
    <d v="1949-11-14T00:00:00"/>
    <x v="1"/>
    <x v="3"/>
    <s v="Antiviral Drugs"/>
    <s v="Patient tested positive for COVID-19; started on antiviral drugs."/>
    <d v="2022-06-23T00:00:00"/>
    <d v="2022-06-25T00:00:00"/>
    <n v="34717.78"/>
    <n v="2"/>
    <x v="4"/>
    <x v="0"/>
    <n v="72"/>
  </r>
  <r>
    <s v="488d54a2-b5b3-4b7a-b8fe-f82d6027bc9b"/>
    <s v="Jessica Watson"/>
    <d v="1980-05-29T00:00:00"/>
    <x v="1"/>
    <x v="2"/>
    <s v="Medication"/>
    <s v="Patient referred for cardiac catheterization."/>
    <d v="2022-11-16T00:00:00"/>
    <d v="2022-12-02T00:00:00"/>
    <n v="33776.47"/>
    <n v="16"/>
    <x v="3"/>
    <x v="0"/>
    <n v="42"/>
  </r>
  <r>
    <s v="aea40c02-1761-4da2-bd2f-0ecf0ef35a19"/>
    <s v="Angela Hayes"/>
    <d v="2003-04-17T00:00:00"/>
    <x v="0"/>
    <x v="1"/>
    <s v="Dialysis"/>
    <s v="Advised on dietary restrictions to support kidney function."/>
    <d v="2023-03-25T00:00:00"/>
    <d v="2023-04-14T00:00:00"/>
    <n v="33619.279999999999"/>
    <n v="20"/>
    <x v="10"/>
    <x v="1"/>
    <n v="19"/>
  </r>
  <r>
    <s v="c27d596e-556b-42a8-b171-af7bff2de17e"/>
    <s v="Charles Shaffer"/>
    <d v="1972-10-01T00:00:00"/>
    <x v="1"/>
    <x v="3"/>
    <s v="Ventilation"/>
    <s v="Oxygen therapy administered for low blood oxygen levels."/>
    <d v="2023-07-17T00:00:00"/>
    <d v="2023-07-23T00:00:00"/>
    <n v="32996.03"/>
    <n v="6"/>
    <x v="2"/>
    <x v="1"/>
    <n v="50"/>
  </r>
  <r>
    <s v="2ab7cbb6-b1f5-44a9-82c6-2438aa776c46"/>
    <s v="Lisa Thomas"/>
    <d v="1993-02-27T00:00:00"/>
    <x v="1"/>
    <x v="2"/>
    <s v="Surgery"/>
    <s v="Prescribed beta-blockers and statins."/>
    <d v="2022-05-18T00:00:00"/>
    <d v="2022-05-30T00:00:00"/>
    <n v="31356.48"/>
    <n v="12"/>
    <x v="5"/>
    <x v="0"/>
    <n v="29"/>
  </r>
  <r>
    <s v="f7985985-78bb-4d9d-b6b7-6b7d0b6eb6bf"/>
    <s v="David Gray"/>
    <d v="1961-04-18T00:00:00"/>
    <x v="0"/>
    <x v="0"/>
    <s v="Radiation Therapy"/>
    <s v="Discussed surgical options and potential outcomes."/>
    <d v="2021-11-09T00:00:00"/>
    <d v="2021-11-30T00:00:00"/>
    <n v="31172.92"/>
    <n v="21"/>
    <x v="3"/>
    <x v="2"/>
    <n v="60"/>
  </r>
  <r>
    <s v="aa54f7d9-8fa5-43f4-8e03-c2b97a3fabf6"/>
    <s v="Hector Brown"/>
    <d v="1992-03-25T00:00:00"/>
    <x v="1"/>
    <x v="2"/>
    <s v="Medication"/>
    <s v="Patient referred for cardiac catheterization."/>
    <d v="2024-05-02T00:00:00"/>
    <d v="2024-05-13T00:00:00"/>
    <n v="31097.55"/>
    <n v="11"/>
    <x v="5"/>
    <x v="3"/>
    <n v="32"/>
  </r>
  <r>
    <s v="72820f80-3c80-4b31-a92d-86bd19f50f79"/>
    <s v="Miss Lisa Bradley"/>
    <d v="1950-08-04T00:00:00"/>
    <x v="0"/>
    <x v="2"/>
    <s v="Medication"/>
    <s v="Prescribed beta-blockers and statins."/>
    <d v="2022-06-06T00:00:00"/>
    <d v="2022-06-11T00:00:00"/>
    <n v="30759.48"/>
    <n v="5"/>
    <x v="4"/>
    <x v="0"/>
    <n v="71"/>
  </r>
  <r>
    <s v="fe925f9a-b40b-4eb1-83f6-d2e5bf0435f8"/>
    <s v="Stephen Lynch"/>
    <d v="1946-03-01T00:00:00"/>
    <x v="0"/>
    <x v="3"/>
    <s v="Oxygen Therapy"/>
    <s v="Patient tested positive for COVID-19; started on antiviral drugs."/>
    <d v="2022-03-31T00:00:00"/>
    <d v="2022-04-27T00:00:00"/>
    <n v="30261.06"/>
    <n v="27"/>
    <x v="10"/>
    <x v="0"/>
    <n v="76"/>
  </r>
  <r>
    <s v="f21605b3-7d6d-43d3-b6a3-66c897e609e7"/>
    <s v="Katherine Davis"/>
    <d v="1937-10-19T00:00:00"/>
    <x v="1"/>
    <x v="4"/>
    <s v="Physical Therapy"/>
    <s v="Monitored for signs of stroke recurrence."/>
    <d v="2021-09-01T00:00:00"/>
    <d v="2021-09-09T00:00:00"/>
    <n v="29750.22"/>
    <n v="8"/>
    <x v="6"/>
    <x v="2"/>
    <n v="83"/>
  </r>
  <r>
    <s v="40d72816-051b-4400-a5e9-5e4d388c0d32"/>
    <s v="Eric Spence"/>
    <d v="1925-05-18T00:00:00"/>
    <x v="0"/>
    <x v="4"/>
    <s v="Speech Therapy"/>
    <s v="Monitored for signs of stroke recurrence."/>
    <d v="2022-09-05T00:00:00"/>
    <d v="2022-09-19T00:00:00"/>
    <n v="29711.34"/>
    <n v="14"/>
    <x v="6"/>
    <x v="0"/>
    <n v="97"/>
  </r>
  <r>
    <s v="b269d4a8-2cd6-4401-9d04-5ccdd4331800"/>
    <s v="Sara Grimes"/>
    <d v="1952-05-22T00:00:00"/>
    <x v="1"/>
    <x v="2"/>
    <s v="Surgery"/>
    <s v="Discussed surgical options for coronary artery disease."/>
    <d v="2022-05-04T00:00:00"/>
    <d v="2022-05-15T00:00:00"/>
    <n v="29504.83"/>
    <n v="11"/>
    <x v="5"/>
    <x v="0"/>
    <n v="69"/>
  </r>
  <r>
    <s v="9fd710c1-8ad1-48df-ae35-ff8c9204f3ed"/>
    <s v="Kyle Carrillo"/>
    <d v="2019-11-14T00:00:00"/>
    <x v="1"/>
    <x v="4"/>
    <s v="Physical Therapy"/>
    <s v="Speech therapy initiated to address language difficulties."/>
    <d v="2022-04-28T00:00:00"/>
    <d v="2022-05-01T00:00:00"/>
    <n v="29328.45"/>
    <n v="3"/>
    <x v="9"/>
    <x v="0"/>
    <n v="2"/>
  </r>
  <r>
    <s v="1cf912cc-aa49-40bf-b175-4bd9da15eae1"/>
    <s v="Daniel Moreno"/>
    <d v="1937-11-04T00:00:00"/>
    <x v="1"/>
    <x v="1"/>
    <s v="Medication"/>
    <s v="Prescribed medication to manage blood pressure and protect kidneys."/>
    <d v="2023-09-26T00:00:00"/>
    <d v="2023-09-30T00:00:00"/>
    <n v="29149.16"/>
    <n v="4"/>
    <x v="6"/>
    <x v="1"/>
    <n v="85"/>
  </r>
  <r>
    <s v="daa5035e-feff-4356-bbc5-c0449e738a44"/>
    <s v="Katherine Fletcher"/>
    <d v="1976-12-15T00:00:00"/>
    <x v="0"/>
    <x v="4"/>
    <s v="Physical Therapy"/>
    <s v="Speech therapy initiated to address language difficulties."/>
    <d v="2023-01-10T00:00:00"/>
    <d v="2023-01-23T00:00:00"/>
    <n v="27427.05"/>
    <n v="13"/>
    <x v="1"/>
    <x v="1"/>
    <n v="46"/>
  </r>
  <r>
    <s v="9d7cb10a-ab4b-4c5c-8c06-064188aeaa06"/>
    <s v="Michael Wilson Jr."/>
    <d v="2017-11-10T00:00:00"/>
    <x v="1"/>
    <x v="4"/>
    <s v="Speech Therapy"/>
    <s v="Monitored for signs of stroke recurrence."/>
    <d v="2023-03-13T00:00:00"/>
    <d v="2023-04-08T00:00:00"/>
    <n v="27369.8"/>
    <n v="26"/>
    <x v="10"/>
    <x v="1"/>
    <n v="5"/>
  </r>
  <r>
    <s v="8e5bdc26-1dd5-4b3c-bf3d-4ae63aea00ca"/>
    <s v="Belinda Mclean"/>
    <d v="2021-12-31T00:00:00"/>
    <x v="0"/>
    <x v="0"/>
    <s v="Radiation Therapy"/>
    <s v="Discussed surgical options and potential outcomes."/>
    <d v="2023-01-13T00:00:00"/>
    <d v="2023-02-03T00:00:00"/>
    <n v="27129.74"/>
    <n v="21"/>
    <x v="1"/>
    <x v="1"/>
    <n v="1"/>
  </r>
  <r>
    <s v="feeea5a0-0b38-450f-a9dd-e01d3e553913"/>
    <s v="Mercedes Webb"/>
    <d v="1927-07-13T00:00:00"/>
    <x v="1"/>
    <x v="4"/>
    <s v="Speech Therapy"/>
    <s v="Speech therapy initiated to address language difficulties."/>
    <d v="2022-11-16T00:00:00"/>
    <d v="2022-12-01T00:00:00"/>
    <n v="26937.94"/>
    <n v="15"/>
    <x v="3"/>
    <x v="0"/>
    <n v="95"/>
  </r>
  <r>
    <s v="617868cf-210c-4d3c-9312-3fcfd73420e7"/>
    <s v="Patricia Marquez"/>
    <d v="1963-09-15T00:00:00"/>
    <x v="0"/>
    <x v="2"/>
    <s v="Medication"/>
    <s v="Prescribed beta-blockers and statins."/>
    <d v="2024-01-23T00:00:00"/>
    <d v="2024-02-10T00:00:00"/>
    <n v="26531.87"/>
    <n v="18"/>
    <x v="1"/>
    <x v="3"/>
    <n v="60"/>
  </r>
  <r>
    <s v="88f7733a-65e8-4e84-9d67-236887d34509"/>
    <s v="Evan Long"/>
    <d v="1996-07-18T00:00:00"/>
    <x v="0"/>
    <x v="4"/>
    <s v="Speech Therapy"/>
    <s v="Speech therapy initiated to address language difficulties."/>
    <d v="2022-08-22T00:00:00"/>
    <d v="2022-09-20T00:00:00"/>
    <n v="26123.79"/>
    <n v="29"/>
    <x v="7"/>
    <x v="0"/>
    <n v="26"/>
  </r>
  <r>
    <s v="533abcc0-c869-4726-bcc9-ac40809b1927"/>
    <s v="Terri Dunn"/>
    <d v="1934-03-08T00:00:00"/>
    <x v="0"/>
    <x v="2"/>
    <s v="Surgery"/>
    <s v="Discussed surgical options for coronary artery disease."/>
    <d v="2024-02-12T00:00:00"/>
    <d v="2024-02-29T00:00:00"/>
    <n v="25848.39"/>
    <n v="17"/>
    <x v="11"/>
    <x v="3"/>
    <n v="89"/>
  </r>
  <r>
    <s v="993cf382-683a-4543-b48a-9720fea0d2d0"/>
    <s v="Jose Day"/>
    <d v="1928-10-06T00:00:00"/>
    <x v="0"/>
    <x v="4"/>
    <s v="Speech Therapy"/>
    <s v="Monitored for signs of stroke recurrence."/>
    <d v="2021-11-21T00:00:00"/>
    <d v="2021-11-29T00:00:00"/>
    <n v="25720.59"/>
    <n v="8"/>
    <x v="3"/>
    <x v="2"/>
    <n v="93"/>
  </r>
  <r>
    <s v="e21b714d-b96f-47ca-868f-847dbbebaeab"/>
    <s v="James Brown"/>
    <d v="1972-09-20T00:00:00"/>
    <x v="1"/>
    <x v="0"/>
    <s v="Radiation Therapy"/>
    <s v="Scheduled for radiation therapy next week."/>
    <d v="2024-05-03T00:00:00"/>
    <d v="2024-05-07T00:00:00"/>
    <n v="25362.31"/>
    <n v="4"/>
    <x v="5"/>
    <x v="3"/>
    <n v="51"/>
  </r>
  <r>
    <s v="721e3ac9-ec0d-4d03-b812-c3aabf1a8f41"/>
    <s v="John Mcmahon"/>
    <d v="1990-02-23T00:00:00"/>
    <x v="1"/>
    <x v="2"/>
    <s v="Medication"/>
    <s v="Discussed surgical options for coronary artery disease."/>
    <d v="2023-06-20T00:00:00"/>
    <d v="2023-06-29T00:00:00"/>
    <n v="25230.01"/>
    <n v="9"/>
    <x v="4"/>
    <x v="1"/>
    <n v="33"/>
  </r>
  <r>
    <s v="720c5845-0d95-444f-b979-5b41de947706"/>
    <s v="Abigail Gonzalez"/>
    <d v="1957-09-08T00:00:00"/>
    <x v="0"/>
    <x v="3"/>
    <s v="Antiviral Drugs"/>
    <s v="Oxygen therapy administered for low blood oxygen levels."/>
    <d v="2024-05-15T00:00:00"/>
    <d v="2024-05-22T00:00:00"/>
    <n v="24247.81"/>
    <n v="7"/>
    <x v="5"/>
    <x v="3"/>
    <n v="66"/>
  </r>
  <r>
    <s v="152e49ba-868b-493c-aa14-2097ff97b0c4"/>
    <s v="Daniel Carr"/>
    <d v="2019-07-03T00:00:00"/>
    <x v="0"/>
    <x v="4"/>
    <s v="Physical Therapy"/>
    <s v="Monitored for signs of stroke recurrence."/>
    <d v="2022-08-12T00:00:00"/>
    <d v="2022-08-13T00:00:00"/>
    <n v="24188.42"/>
    <n v="1"/>
    <x v="7"/>
    <x v="0"/>
    <n v="3"/>
  </r>
  <r>
    <s v="c7949473-5224-4575-a4db-3c961c51ec33"/>
    <s v="Mr. Steven Green"/>
    <d v="2000-09-28T00:00:00"/>
    <x v="0"/>
    <x v="4"/>
    <s v="Physical Therapy"/>
    <s v="Monitored for signs of stroke recurrence."/>
    <d v="2023-05-03T00:00:00"/>
    <d v="2023-05-18T00:00:00"/>
    <n v="24069"/>
    <n v="15"/>
    <x v="5"/>
    <x v="1"/>
    <n v="22"/>
  </r>
  <r>
    <s v="a06be831-a709-4ab9-a9d6-55a626cb8cee"/>
    <s v="Marcus Padilla"/>
    <d v="1938-08-17T00:00:00"/>
    <x v="0"/>
    <x v="3"/>
    <s v="Antiviral Drugs"/>
    <s v="Oxygen therapy administered for low blood oxygen levels."/>
    <d v="2021-10-24T00:00:00"/>
    <d v="2021-11-16T00:00:00"/>
    <n v="23956.28"/>
    <n v="23"/>
    <x v="8"/>
    <x v="2"/>
    <n v="83"/>
  </r>
  <r>
    <s v="6e9ae84f-997f-46b3-88d9-1c2b5aa627b7"/>
    <s v="Julie Taylor"/>
    <d v="1978-05-23T00:00:00"/>
    <x v="1"/>
    <x v="4"/>
    <s v="Speech Therapy"/>
    <s v="Monitored for signs of stroke recurrence."/>
    <d v="2021-09-29T00:00:00"/>
    <d v="2021-10-03T00:00:00"/>
    <n v="23553.22"/>
    <n v="4"/>
    <x v="6"/>
    <x v="2"/>
    <n v="43"/>
  </r>
  <r>
    <s v="8e11e344-c5e2-4779-afb2-8383f29abbde"/>
    <s v="Cynthia Miller"/>
    <d v="1978-08-03T00:00:00"/>
    <x v="1"/>
    <x v="1"/>
    <s v="Dialysis"/>
    <s v="Advised on dietary restrictions to support kidney function."/>
    <d v="2021-09-11T00:00:00"/>
    <d v="2021-09-20T00:00:00"/>
    <n v="23513.88"/>
    <n v="9"/>
    <x v="6"/>
    <x v="2"/>
    <n v="43"/>
  </r>
  <r>
    <s v="4c970c93-185f-4e5e-97ae-9b082be51599"/>
    <s v="Chelsea Dennis"/>
    <d v="1955-01-02T00:00:00"/>
    <x v="1"/>
    <x v="4"/>
    <s v="Speech Therapy"/>
    <s v="Speech therapy initiated to address language difficulties."/>
    <d v="2022-08-27T00:00:00"/>
    <d v="2022-09-12T00:00:00"/>
    <n v="23351.26"/>
    <n v="16"/>
    <x v="7"/>
    <x v="0"/>
    <n v="67"/>
  </r>
  <r>
    <s v="ee49e113-1e2e-48c1-84de-d77de58d0f5b"/>
    <s v="Norman Goodwin"/>
    <d v="1979-05-27T00:00:00"/>
    <x v="0"/>
    <x v="1"/>
    <s v="Medication"/>
    <s v="Patient started on dialysis; discussed procedure and schedule."/>
    <d v="2022-12-15T00:00:00"/>
    <d v="2023-01-12T00:00:00"/>
    <n v="23136.14"/>
    <n v="28"/>
    <x v="0"/>
    <x v="0"/>
    <n v="43"/>
  </r>
  <r>
    <s v="ad24a2a2-1e30-476a-9a06-dd670cf6add8"/>
    <s v="Marissa White"/>
    <d v="2012-03-23T00:00:00"/>
    <x v="1"/>
    <x v="3"/>
    <s v="Ventilation"/>
    <s v="Monitor for any signs of respiratory failure."/>
    <d v="2023-12-06T00:00:00"/>
    <d v="2024-01-03T00:00:00"/>
    <n v="23007.82"/>
    <n v="28"/>
    <x v="0"/>
    <x v="1"/>
    <n v="11"/>
  </r>
  <r>
    <s v="55965212-ce87-4eb3-89a3-530724238c0c"/>
    <s v="Jessica Nelson"/>
    <d v="1990-01-19T00:00:00"/>
    <x v="0"/>
    <x v="4"/>
    <s v="Physical Therapy"/>
    <s v="Monitored for signs of stroke recurrence."/>
    <d v="2022-08-27T00:00:00"/>
    <d v="2022-09-10T00:00:00"/>
    <n v="22498.799999999999"/>
    <n v="14"/>
    <x v="7"/>
    <x v="0"/>
    <n v="32"/>
  </r>
  <r>
    <s v="1bdd3673-4986-49cd-85ca-55d1af316c6f"/>
    <s v="Keith Morris"/>
    <d v="1969-06-22T00:00:00"/>
    <x v="1"/>
    <x v="4"/>
    <s v="Physical Therapy"/>
    <s v="Referred to physical therapy for mobility improvement."/>
    <d v="2024-03-08T00:00:00"/>
    <d v="2024-04-01T00:00:00"/>
    <n v="21806.37"/>
    <n v="24"/>
    <x v="10"/>
    <x v="3"/>
    <n v="54"/>
  </r>
  <r>
    <s v="beec3bc7-e94e-4e5b-9e07-53b3233192b1"/>
    <s v="Timothy Castaneda"/>
    <d v="1994-12-21T00:00:00"/>
    <x v="1"/>
    <x v="2"/>
    <s v="Medication"/>
    <s v="Discussed surgical options for coronary artery disease."/>
    <d v="2023-10-15T00:00:00"/>
    <d v="2023-10-19T00:00:00"/>
    <n v="21636.35"/>
    <n v="4"/>
    <x v="8"/>
    <x v="1"/>
    <n v="28"/>
  </r>
  <r>
    <s v="66c6f7f1-69f7-44e3-bf75-1699083536f6"/>
    <s v="Christopher Haynes"/>
    <d v="1931-10-08T00:00:00"/>
    <x v="1"/>
    <x v="4"/>
    <s v="Physical Therapy"/>
    <s v="Speech therapy initiated to address language difficulties."/>
    <d v="2022-01-23T00:00:00"/>
    <d v="2022-02-19T00:00:00"/>
    <n v="21616.2"/>
    <n v="27"/>
    <x v="1"/>
    <x v="0"/>
    <n v="90"/>
  </r>
  <r>
    <s v="72c39ae3-6566-4514-a55f-7dc87e69aea4"/>
    <s v="Joseph Johnson"/>
    <d v="1953-01-25T00:00:00"/>
    <x v="1"/>
    <x v="1"/>
    <s v="Dialysis"/>
    <s v="Patient started on dialysis; discussed procedure and schedule."/>
    <d v="2024-06-18T00:00:00"/>
    <d v="2024-07-06T00:00:00"/>
    <n v="21550.7"/>
    <n v="18"/>
    <x v="4"/>
    <x v="3"/>
    <n v="71"/>
  </r>
  <r>
    <s v="6b8e32e7-489d-4644-8bb9-4f779ab2a6e4"/>
    <s v="Justin Marshall"/>
    <d v="1975-05-09T00:00:00"/>
    <x v="1"/>
    <x v="4"/>
    <s v="Speech Therapy"/>
    <s v="Monitored for signs of stroke recurrence."/>
    <d v="2022-06-06T00:00:00"/>
    <d v="2022-06-13T00:00:00"/>
    <n v="21456.46"/>
    <n v="7"/>
    <x v="4"/>
    <x v="0"/>
    <n v="47"/>
  </r>
  <r>
    <s v="ae6b13ac-3354-440e-8d27-b4b979ecd4a9"/>
    <s v="Laura Green"/>
    <d v="1957-08-24T00:00:00"/>
    <x v="1"/>
    <x v="4"/>
    <s v="Physical Therapy"/>
    <s v="Monitored for signs of stroke recurrence."/>
    <d v="2024-03-11T00:00:00"/>
    <d v="2024-03-18T00:00:00"/>
    <n v="21359.17"/>
    <n v="7"/>
    <x v="10"/>
    <x v="3"/>
    <n v="66"/>
  </r>
  <r>
    <s v="f182af7c-bb4b-42ea-848b-a6011e7ec360"/>
    <s v="Vickie Garza"/>
    <d v="1974-07-07T00:00:00"/>
    <x v="1"/>
    <x v="4"/>
    <s v="Physical Therapy"/>
    <s v="Monitored for signs of stroke recurrence."/>
    <d v="2022-01-21T00:00:00"/>
    <d v="2022-01-25T00:00:00"/>
    <n v="21009.17"/>
    <n v="4"/>
    <x v="1"/>
    <x v="0"/>
    <n v="47"/>
  </r>
  <r>
    <s v="95ae272a-fffb-47ec-842a-7929eb826e7b"/>
    <s v="Stephanie Castillo"/>
    <d v="1986-03-18T00:00:00"/>
    <x v="0"/>
    <x v="2"/>
    <s v="Medication"/>
    <s v="Prescribed beta-blockers and statins."/>
    <d v="2023-01-05T00:00:00"/>
    <d v="2023-01-31T00:00:00"/>
    <n v="20876.25"/>
    <n v="26"/>
    <x v="1"/>
    <x v="1"/>
    <n v="36"/>
  </r>
  <r>
    <s v="b88a75a7-4338-440e-a156-28dbd53d41b6"/>
    <s v="Gwendolyn Faulkner"/>
    <d v="1933-02-27T00:00:00"/>
    <x v="0"/>
    <x v="3"/>
    <s v="Oxygen Therapy"/>
    <s v="Monitor for any signs of respiratory failure."/>
    <d v="2023-12-11T00:00:00"/>
    <d v="2023-12-29T00:00:00"/>
    <n v="20798.71"/>
    <n v="18"/>
    <x v="0"/>
    <x v="1"/>
    <n v="90"/>
  </r>
  <r>
    <s v="8c7bf0ae-37b4-4c5a-9d53-3aa540ed5c7f"/>
    <s v="Mark Peters"/>
    <d v="1989-01-08T00:00:00"/>
    <x v="0"/>
    <x v="0"/>
    <s v="Radiation Therapy"/>
    <s v="Scheduled for radiation therapy next week."/>
    <d v="2022-08-25T00:00:00"/>
    <d v="2022-09-13T00:00:00"/>
    <n v="20577.2"/>
    <n v="19"/>
    <x v="7"/>
    <x v="0"/>
    <n v="33"/>
  </r>
  <r>
    <s v="9f9eaf7b-974e-44ee-a1c5-808833e10c83"/>
    <s v="Amber Roberts"/>
    <d v="1929-11-04T00:00:00"/>
    <x v="1"/>
    <x v="4"/>
    <s v="Physical Therapy"/>
    <s v="Referred to physical therapy for mobility improvement."/>
    <d v="2022-10-19T00:00:00"/>
    <d v="2022-10-24T00:00:00"/>
    <n v="20281.650000000001"/>
    <n v="5"/>
    <x v="8"/>
    <x v="0"/>
    <n v="92"/>
  </r>
  <r>
    <s v="23fd7752-4f1b-48c9-8b46-9001d12c5d4d"/>
    <s v="Darin Smith"/>
    <d v="1990-03-19T00:00:00"/>
    <x v="0"/>
    <x v="1"/>
    <s v="Medication"/>
    <s v="Prescribed medication to manage blood pressure and protect kidneys."/>
    <d v="2023-07-01T00:00:00"/>
    <d v="2023-07-26T00:00:00"/>
    <n v="20232.73"/>
    <n v="25"/>
    <x v="2"/>
    <x v="1"/>
    <n v="33"/>
  </r>
  <r>
    <s v="b1858df0-2a08-4f0b-96a6-295d695f1507"/>
    <s v="Michelle Stewart"/>
    <d v="1938-08-12T00:00:00"/>
    <x v="1"/>
    <x v="2"/>
    <s v="Medication"/>
    <s v="Patient referred for cardiac catheterization."/>
    <d v="2023-01-10T00:00:00"/>
    <d v="2023-01-25T00:00:00"/>
    <n v="20060.7"/>
    <n v="15"/>
    <x v="1"/>
    <x v="1"/>
    <n v="84"/>
  </r>
  <r>
    <s v="70c14715-9271-4417-b6fd-0c88c74e3c91"/>
    <s v="Laura Lambert"/>
    <d v="1983-11-17T00:00:00"/>
    <x v="1"/>
    <x v="2"/>
    <s v="Medication"/>
    <s v="Prescribed beta-blockers and statins."/>
    <d v="2023-05-15T00:00:00"/>
    <d v="2023-06-09T00:00:00"/>
    <n v="19990.04"/>
    <n v="25"/>
    <x v="5"/>
    <x v="1"/>
    <n v="39"/>
  </r>
  <r>
    <s v="581d5cf6-914b-4af2-a0bc-561c65e335c4"/>
    <s v="Jessica Rivera"/>
    <d v="1966-08-15T00:00:00"/>
    <x v="0"/>
    <x v="5"/>
    <s v="Physical Therapy"/>
    <s v="Disease-modifying therapy initiated."/>
    <d v="2022-12-19T00:00:00"/>
    <d v="2023-01-09T00:00:00"/>
    <n v="19911.38"/>
    <n v="21"/>
    <x v="0"/>
    <x v="0"/>
    <n v="56"/>
  </r>
  <r>
    <s v="5b05cf46-21b7-4143-bd56-358c231ccdc7"/>
    <s v="Warren Ball"/>
    <d v="1929-12-02T00:00:00"/>
    <x v="0"/>
    <x v="4"/>
    <s v="Physical Therapy"/>
    <s v="Monitored for signs of stroke recurrence."/>
    <d v="2021-08-15T00:00:00"/>
    <d v="2021-09-01T00:00:00"/>
    <n v="19838.39"/>
    <n v="17"/>
    <x v="7"/>
    <x v="2"/>
    <n v="91"/>
  </r>
  <r>
    <s v="31be8874-804f-4336-9574-67c4af86f3cc"/>
    <s v="Jessica Walter"/>
    <d v="1929-07-10T00:00:00"/>
    <x v="0"/>
    <x v="4"/>
    <s v="Physical Therapy"/>
    <s v="Monitored for signs of stroke recurrence."/>
    <d v="2024-06-02T00:00:00"/>
    <d v="2024-06-16T00:00:00"/>
    <n v="19789.55"/>
    <n v="14"/>
    <x v="4"/>
    <x v="3"/>
    <n v="94"/>
  </r>
  <r>
    <s v="5a7aae88-0fc9-4842-a496-e8d5b13536e2"/>
    <s v="Mary Williams"/>
    <d v="1931-09-22T00:00:00"/>
    <x v="0"/>
    <x v="6"/>
    <s v="Medication"/>
    <s v="Referred to cognitive behavioral therapy to improve memory and thinking skills."/>
    <d v="2024-03-22T00:00:00"/>
    <d v="2024-03-26T00:00:00"/>
    <n v="19716.12"/>
    <n v="4"/>
    <x v="10"/>
    <x v="3"/>
    <n v="92"/>
  </r>
  <r>
    <s v="6a64e052-3443-4afb-a8e0-6057da3eaac9"/>
    <s v="Briana Taylor"/>
    <d v="1955-09-07T00:00:00"/>
    <x v="1"/>
    <x v="1"/>
    <s v="Medication"/>
    <s v="Patient started on dialysis; discussed procedure and schedule."/>
    <d v="2022-01-18T00:00:00"/>
    <d v="2022-01-27T00:00:00"/>
    <n v="19565.53"/>
    <n v="9"/>
    <x v="1"/>
    <x v="0"/>
    <n v="66"/>
  </r>
  <r>
    <s v="898f148b-2bf5-4797-b492-f7a12d25606a"/>
    <s v="Marcia Ruiz"/>
    <d v="1926-09-12T00:00:00"/>
    <x v="1"/>
    <x v="6"/>
    <s v="Cognitive Behavioral Therapy"/>
    <s v="Referred to cognitive behavioral therapy to improve memory and thinking skills."/>
    <d v="2023-12-05T00:00:00"/>
    <d v="2023-12-29T00:00:00"/>
    <n v="19484.45"/>
    <n v="24"/>
    <x v="0"/>
    <x v="1"/>
    <n v="97"/>
  </r>
  <r>
    <s v="8e82ce56-706c-4dd0-9684-4aa9ae17fcab"/>
    <s v="Amber Gomez"/>
    <d v="1946-01-01T00:00:00"/>
    <x v="1"/>
    <x v="7"/>
    <s v="Oxygen Therapy"/>
    <s v="Referred to pulmonary rehabilitation program."/>
    <d v="2022-11-18T00:00:00"/>
    <d v="2022-12-03T00:00:00"/>
    <n v="19410.080000000002"/>
    <n v="15"/>
    <x v="3"/>
    <x v="0"/>
    <n v="76"/>
  </r>
  <r>
    <s v="16c65ac7-853c-43d6-952f-3afdf3ffb498"/>
    <s v="Kayla Lamb"/>
    <d v="1971-10-22T00:00:00"/>
    <x v="0"/>
    <x v="1"/>
    <s v="Dialysis"/>
    <s v="Advised on dietary restrictions to support kidney function."/>
    <d v="2024-04-05T00:00:00"/>
    <d v="2024-04-28T00:00:00"/>
    <n v="19409.7"/>
    <n v="23"/>
    <x v="9"/>
    <x v="3"/>
    <n v="52"/>
  </r>
  <r>
    <s v="e2f40dd9-0f8f-4d8a-ae63-e3560488e3df"/>
    <s v="Raymond Blake"/>
    <d v="1947-10-20T00:00:00"/>
    <x v="1"/>
    <x v="8"/>
    <s v="Antibiotics"/>
    <s v="Monitor for any signs of respiratory distress."/>
    <d v="2023-02-17T00:00:00"/>
    <d v="2023-03-17T00:00:00"/>
    <n v="19406.72"/>
    <n v="28"/>
    <x v="11"/>
    <x v="1"/>
    <n v="75"/>
  </r>
  <r>
    <s v="21ddf72a-c856-4bd4-8641-473eee260ec4"/>
    <s v="Melissa Thompson"/>
    <d v="1994-06-17T00:00:00"/>
    <x v="0"/>
    <x v="6"/>
    <s v="Medication"/>
    <s v="Discussed with family about disease progression and care options."/>
    <d v="2024-03-10T00:00:00"/>
    <d v="2024-03-22T00:00:00"/>
    <n v="19285.29"/>
    <n v="12"/>
    <x v="10"/>
    <x v="3"/>
    <n v="29"/>
  </r>
  <r>
    <s v="0ef5b241-0b9a-4dd9-9ba3-bbcea9450d1c"/>
    <s v="Jo Palmer"/>
    <d v="1991-12-04T00:00:00"/>
    <x v="0"/>
    <x v="7"/>
    <s v="Medication"/>
    <s v="Patient requires home oxygen therapy."/>
    <d v="2024-03-09T00:00:00"/>
    <d v="2024-03-29T00:00:00"/>
    <n v="19235.02"/>
    <n v="20"/>
    <x v="10"/>
    <x v="3"/>
    <n v="32"/>
  </r>
  <r>
    <s v="20db6926-d280-416a-98c3-0920cbd50872"/>
    <s v="Kristen Carter"/>
    <d v="2019-03-30T00:00:00"/>
    <x v="0"/>
    <x v="7"/>
    <s v="Medication"/>
    <s v="Prescribed long-term bronchodilators."/>
    <d v="2023-06-02T00:00:00"/>
    <d v="2023-06-23T00:00:00"/>
    <n v="19191.59"/>
    <n v="21"/>
    <x v="4"/>
    <x v="1"/>
    <n v="4"/>
  </r>
  <r>
    <s v="ee6f3d29-4110-4562-a8e3-965f0380259e"/>
    <s v="Bryan Green"/>
    <d v="1971-08-21T00:00:00"/>
    <x v="0"/>
    <x v="5"/>
    <s v="Medication"/>
    <s v="Discussed strategies to manage fatigue and other symptoms."/>
    <d v="2022-05-09T00:00:00"/>
    <d v="2022-05-20T00:00:00"/>
    <n v="19190.59"/>
    <n v="11"/>
    <x v="5"/>
    <x v="0"/>
    <n v="50"/>
  </r>
  <r>
    <s v="bcbdebb8-a1b6-418b-8310-e38e1df14f27"/>
    <s v="Elizabeth Pham"/>
    <d v="2010-03-10T00:00:00"/>
    <x v="0"/>
    <x v="8"/>
    <s v="Oxygen Therapy"/>
    <s v="Started on broad-spectrum antibiotics."/>
    <d v="2022-03-22T00:00:00"/>
    <d v="2022-04-10T00:00:00"/>
    <n v="19170.990000000002"/>
    <n v="19"/>
    <x v="10"/>
    <x v="0"/>
    <n v="12"/>
  </r>
  <r>
    <s v="a5e3eac5-03a7-436a-aa16-eb0ad1b6d12b"/>
    <s v="Tiffany Hart"/>
    <d v="1997-02-22T00:00:00"/>
    <x v="1"/>
    <x v="4"/>
    <s v="Speech Therapy"/>
    <s v="Referred to physical therapy for mobility improvement."/>
    <d v="2022-11-25T00:00:00"/>
    <d v="2022-12-10T00:00:00"/>
    <n v="19146.98"/>
    <n v="15"/>
    <x v="3"/>
    <x v="0"/>
    <n v="25"/>
  </r>
  <r>
    <s v="bd377942-7b98-4bf3-834c-4ad673b87bff"/>
    <s v="Isaiah Thompson"/>
    <d v="1968-07-17T00:00:00"/>
    <x v="0"/>
    <x v="5"/>
    <s v="Physical Therapy"/>
    <s v="Disease-modifying therapy initiated."/>
    <d v="2023-09-06T00:00:00"/>
    <d v="2023-09-21T00:00:00"/>
    <n v="19132.09"/>
    <n v="15"/>
    <x v="6"/>
    <x v="1"/>
    <n v="55"/>
  </r>
  <r>
    <s v="d682f5ac-bac7-4f40-95ef-f75e70fccc48"/>
    <s v="Bridget Garcia"/>
    <d v="1939-03-27T00:00:00"/>
    <x v="1"/>
    <x v="2"/>
    <s v="Surgery"/>
    <s v="Discussed surgical options for coronary artery disease."/>
    <d v="2024-02-14T00:00:00"/>
    <d v="2024-03-09T00:00:00"/>
    <n v="19095.03"/>
    <n v="24"/>
    <x v="11"/>
    <x v="3"/>
    <n v="84"/>
  </r>
  <r>
    <s v="f880237d-83c7-46a0-9ea3-b4f4a20679ff"/>
    <s v="David Anderson"/>
    <d v="2019-07-08T00:00:00"/>
    <x v="0"/>
    <x v="6"/>
    <s v="Cognitive Behavioral Therapy"/>
    <s v="Discussed with family about disease progression and care options."/>
    <d v="2021-10-29T00:00:00"/>
    <d v="2021-11-03T00:00:00"/>
    <n v="19018.330000000002"/>
    <n v="5"/>
    <x v="8"/>
    <x v="2"/>
    <n v="2"/>
  </r>
  <r>
    <s v="5b680171-99fd-45ba-9115-440f96487a8a"/>
    <s v="Dillon Pierce"/>
    <d v="1965-07-03T00:00:00"/>
    <x v="0"/>
    <x v="4"/>
    <s v="Speech Therapy"/>
    <s v="Monitored for signs of stroke recurrence."/>
    <d v="2024-03-02T00:00:00"/>
    <d v="2024-03-17T00:00:00"/>
    <n v="18993.900000000001"/>
    <n v="15"/>
    <x v="10"/>
    <x v="3"/>
    <n v="58"/>
  </r>
  <r>
    <s v="a9aa5d30-0aa0-413a-9a3b-bfa099ea18ae"/>
    <s v="Adam Coleman"/>
    <d v="2017-07-02T00:00:00"/>
    <x v="0"/>
    <x v="9"/>
    <s v="Medication"/>
    <s v="Discussed potential for deep brain stimulation surgery."/>
    <d v="2024-04-12T00:00:00"/>
    <d v="2024-04-22T00:00:00"/>
    <n v="18953.7"/>
    <n v="10"/>
    <x v="9"/>
    <x v="3"/>
    <n v="6"/>
  </r>
  <r>
    <s v="9b3a6e21-8838-49f4-b952-fcaf01428c62"/>
    <s v="Brian Ortega"/>
    <d v="1984-11-02T00:00:00"/>
    <x v="0"/>
    <x v="6"/>
    <s v="Cognitive Behavioral Therapy"/>
    <s v="Referred to cognitive behavioral therapy to improve memory and thinking skills."/>
    <d v="2021-08-27T00:00:00"/>
    <d v="2021-09-13T00:00:00"/>
    <n v="18941.349999999999"/>
    <n v="17"/>
    <x v="7"/>
    <x v="2"/>
    <n v="36"/>
  </r>
  <r>
    <s v="68a3584b-670d-482d-9058-9510dab111fc"/>
    <s v="Thomas Simpson"/>
    <d v="2000-02-03T00:00:00"/>
    <x v="1"/>
    <x v="8"/>
    <s v="Antibiotics"/>
    <s v="Monitor for any signs of respiratory distress."/>
    <d v="2024-03-13T00:00:00"/>
    <d v="2024-03-19T00:00:00"/>
    <n v="18884.98"/>
    <n v="6"/>
    <x v="10"/>
    <x v="3"/>
    <n v="24"/>
  </r>
  <r>
    <s v="a7e6b95c-7ef1-41ce-b15e-65bb307e4406"/>
    <s v="Ralph Ball"/>
    <d v="1973-11-04T00:00:00"/>
    <x v="1"/>
    <x v="4"/>
    <s v="Speech Therapy"/>
    <s v="Monitored for signs of stroke recurrence."/>
    <d v="2022-03-28T00:00:00"/>
    <d v="2022-04-14T00:00:00"/>
    <n v="18841.28"/>
    <n v="17"/>
    <x v="10"/>
    <x v="0"/>
    <n v="48"/>
  </r>
  <r>
    <s v="6a6b81a5-d17f-4989-84cc-292fbc16a146"/>
    <s v="William Travis"/>
    <d v="2000-12-20T00:00:00"/>
    <x v="0"/>
    <x v="7"/>
    <s v="Medication"/>
    <s v="Patient requires home oxygen therapy."/>
    <d v="2023-12-29T00:00:00"/>
    <d v="2024-01-27T00:00:00"/>
    <n v="18771.400000000001"/>
    <n v="29"/>
    <x v="0"/>
    <x v="1"/>
    <n v="23"/>
  </r>
  <r>
    <s v="b8daad85-64a2-495a-98a8-33977b3cde50"/>
    <s v="William Richardson"/>
    <d v="1976-09-29T00:00:00"/>
    <x v="1"/>
    <x v="7"/>
    <s v="Medication"/>
    <s v="Referred to pulmonary rehabilitation program."/>
    <d v="2021-11-09T00:00:00"/>
    <d v="2021-12-03T00:00:00"/>
    <n v="18646.04"/>
    <n v="24"/>
    <x v="3"/>
    <x v="2"/>
    <n v="45"/>
  </r>
  <r>
    <s v="86d45a91-47d5-41a7-9ce7-c6e343b671ea"/>
    <s v="David Lyons"/>
    <d v="1987-06-21T00:00:00"/>
    <x v="0"/>
    <x v="7"/>
    <s v="Medication"/>
    <s v="Patient requires home oxygen therapy."/>
    <d v="2023-07-14T00:00:00"/>
    <d v="2023-08-13T00:00:00"/>
    <n v="18556.509999999998"/>
    <n v="30"/>
    <x v="2"/>
    <x v="1"/>
    <n v="36"/>
  </r>
  <r>
    <s v="26b663f5-7ea9-411f-ab22-30f8afbe51db"/>
    <s v="Yvette Chavez"/>
    <d v="1945-10-09T00:00:00"/>
    <x v="0"/>
    <x v="7"/>
    <s v="Medication"/>
    <s v="Patient requires home oxygen therapy."/>
    <d v="2022-01-18T00:00:00"/>
    <d v="2022-02-11T00:00:00"/>
    <n v="18500.810000000001"/>
    <n v="24"/>
    <x v="1"/>
    <x v="0"/>
    <n v="76"/>
  </r>
  <r>
    <s v="673fe081-0bb8-41be-a5f9-1833a92152c7"/>
    <s v="Olivia Allen"/>
    <d v="1993-10-04T00:00:00"/>
    <x v="1"/>
    <x v="1"/>
    <s v="Dialysis"/>
    <s v="Prescribed medication to manage blood pressure and protect kidneys."/>
    <d v="2022-06-10T00:00:00"/>
    <d v="2022-07-07T00:00:00"/>
    <n v="18443.47"/>
    <n v="27"/>
    <x v="4"/>
    <x v="0"/>
    <n v="28"/>
  </r>
  <r>
    <s v="2b48635a-eda9-4cdd-9f47-2481a075fa38"/>
    <s v="Robert Johnson"/>
    <d v="2003-05-21T00:00:00"/>
    <x v="0"/>
    <x v="7"/>
    <s v="Medication"/>
    <s v="Prescribed long-term bronchodilators."/>
    <d v="2021-07-29T00:00:00"/>
    <d v="2021-08-13T00:00:00"/>
    <n v="18390.09"/>
    <n v="15"/>
    <x v="2"/>
    <x v="2"/>
    <n v="18"/>
  </r>
  <r>
    <s v="1caba3b2-99c5-4c2c-8814-dfd639f5ebb2"/>
    <s v="Dr. William French"/>
    <d v="1973-01-25T00:00:00"/>
    <x v="0"/>
    <x v="3"/>
    <s v="Ventilation"/>
    <s v="Patient tested positive for COVID-19; started on antiviral drugs."/>
    <d v="2022-02-04T00:00:00"/>
    <d v="2022-02-23T00:00:00"/>
    <n v="18329.240000000002"/>
    <n v="19"/>
    <x v="11"/>
    <x v="0"/>
    <n v="49"/>
  </r>
  <r>
    <s v="ea5b1203-abbe-4647-9c45-449eb2fc87d8"/>
    <s v="Jessica Meadows"/>
    <d v="2000-07-10T00:00:00"/>
    <x v="0"/>
    <x v="7"/>
    <s v="Medication"/>
    <s v="Referred to pulmonary rehabilitation program."/>
    <d v="2023-09-20T00:00:00"/>
    <d v="2023-10-05T00:00:00"/>
    <n v="18274.509999999998"/>
    <n v="15"/>
    <x v="6"/>
    <x v="1"/>
    <n v="23"/>
  </r>
  <r>
    <s v="0a040562-c2d3-4a62-add4-4b94c2b8f65d"/>
    <s v="Michelle Gallagher"/>
    <d v="1970-07-25T00:00:00"/>
    <x v="0"/>
    <x v="7"/>
    <s v="Medication"/>
    <s v="Referred to pulmonary rehabilitation program."/>
    <d v="2023-07-02T00:00:00"/>
    <d v="2023-07-09T00:00:00"/>
    <n v="18201.55"/>
    <n v="7"/>
    <x v="2"/>
    <x v="1"/>
    <n v="52"/>
  </r>
  <r>
    <s v="40e2d0c9-ed07-40e8-954d-d70a98fda0e5"/>
    <s v="William Wright"/>
    <d v="1950-03-24T00:00:00"/>
    <x v="1"/>
    <x v="9"/>
    <s v="Physical Therapy"/>
    <s v="Discussed potential for deep brain stimulation surgery."/>
    <d v="2023-07-18T00:00:00"/>
    <d v="2023-07-28T00:00:00"/>
    <n v="17890.11"/>
    <n v="10"/>
    <x v="2"/>
    <x v="1"/>
    <n v="73"/>
  </r>
  <r>
    <s v="9c5d6a72-17f2-4442-9b5d-4117347497d9"/>
    <s v="Maria Johnson"/>
    <d v="2023-03-08T00:00:00"/>
    <x v="0"/>
    <x v="7"/>
    <s v="Oxygen Therapy"/>
    <s v="Prescribed long-term bronchodilators."/>
    <d v="2023-09-26T00:00:00"/>
    <d v="2023-10-01T00:00:00"/>
    <n v="17777.41"/>
    <n v="5"/>
    <x v="6"/>
    <x v="1"/>
    <n v="0"/>
  </r>
  <r>
    <s v="8ab5c984-076e-4adf-99e7-365d77624c3b"/>
    <s v="Timothy Hunter"/>
    <d v="2009-04-20T00:00:00"/>
    <x v="0"/>
    <x v="4"/>
    <s v="Physical Therapy"/>
    <s v="Monitored for signs of stroke recurrence."/>
    <d v="2023-03-17T00:00:00"/>
    <d v="2023-04-08T00:00:00"/>
    <n v="17773.72"/>
    <n v="22"/>
    <x v="10"/>
    <x v="1"/>
    <n v="13"/>
  </r>
  <r>
    <s v="0c73110d-88e5-44de-a6b6-fededb62c8db"/>
    <s v="Abigail Molina"/>
    <d v="2021-04-22T00:00:00"/>
    <x v="1"/>
    <x v="6"/>
    <s v="Medication"/>
    <s v="Started on medication to slow progression of symptoms."/>
    <d v="2022-04-11T00:00:00"/>
    <d v="2022-04-30T00:00:00"/>
    <n v="17702.8"/>
    <n v="19"/>
    <x v="9"/>
    <x v="0"/>
    <n v="0"/>
  </r>
  <r>
    <s v="592c8a9a-16ad-435a-9514-9fac5d147903"/>
    <s v="Tara Boyd"/>
    <d v="2017-02-18T00:00:00"/>
    <x v="0"/>
    <x v="8"/>
    <s v="Oxygen Therapy"/>
    <s v="Monitor for any signs of respiratory distress."/>
    <d v="2022-06-12T00:00:00"/>
    <d v="2022-06-25T00:00:00"/>
    <n v="17521.400000000001"/>
    <n v="13"/>
    <x v="4"/>
    <x v="0"/>
    <n v="5"/>
  </r>
  <r>
    <s v="38dc8895-3c35-4a2d-9edb-10b581b1a6f7"/>
    <s v="Christopher Bailey"/>
    <d v="1966-12-17T00:00:00"/>
    <x v="1"/>
    <x v="6"/>
    <s v="Medication"/>
    <s v="Started on medication to slow progression of symptoms."/>
    <d v="2023-02-06T00:00:00"/>
    <d v="2023-02-27T00:00:00"/>
    <n v="17498.04"/>
    <n v="21"/>
    <x v="11"/>
    <x v="1"/>
    <n v="56"/>
  </r>
  <r>
    <s v="2e55c526-6a1b-40ce-ac50-05802e6798df"/>
    <s v="Steven Sharp"/>
    <d v="2022-02-26T00:00:00"/>
    <x v="1"/>
    <x v="7"/>
    <s v="Oxygen Therapy"/>
    <s v="Prescribed long-term bronchodilators."/>
    <d v="2024-01-31T00:00:00"/>
    <d v="2024-02-10T00:00:00"/>
    <n v="17446.7"/>
    <n v="10"/>
    <x v="1"/>
    <x v="3"/>
    <n v="1"/>
  </r>
  <r>
    <s v="5c9eda55-555f-4282-86c1-957f86470d1b"/>
    <s v="Michelle Patel"/>
    <d v="1948-08-21T00:00:00"/>
    <x v="0"/>
    <x v="8"/>
    <s v="Oxygen Therapy"/>
    <s v="Started on broad-spectrum antibiotics."/>
    <d v="2024-02-15T00:00:00"/>
    <d v="2024-03-09T00:00:00"/>
    <n v="17432.990000000002"/>
    <n v="23"/>
    <x v="11"/>
    <x v="3"/>
    <n v="75"/>
  </r>
  <r>
    <s v="680aba02-33a2-471c-923d-f9a2ff44f0eb"/>
    <s v="Brett Hernandez"/>
    <d v="1970-07-11T00:00:00"/>
    <x v="1"/>
    <x v="5"/>
    <s v="Physical Therapy"/>
    <s v="Disease-modifying therapy initiated."/>
    <d v="2021-12-02T00:00:00"/>
    <d v="2021-12-17T00:00:00"/>
    <n v="17369.82"/>
    <n v="15"/>
    <x v="0"/>
    <x v="2"/>
    <n v="51"/>
  </r>
  <r>
    <s v="b1ae3336-0f2d-4e27-9539-962babf22f9d"/>
    <s v="Steven Smith II"/>
    <d v="2015-10-29T00:00:00"/>
    <x v="0"/>
    <x v="4"/>
    <s v="Physical Therapy"/>
    <s v="Speech therapy initiated to address language difficulties."/>
    <d v="2023-06-12T00:00:00"/>
    <d v="2023-06-26T00:00:00"/>
    <n v="17329.990000000002"/>
    <n v="14"/>
    <x v="4"/>
    <x v="1"/>
    <n v="7"/>
  </r>
  <r>
    <s v="3170ebc4-ffb9-4902-86c4-75d50f543343"/>
    <s v="Richard Le"/>
    <d v="1933-09-06T00:00:00"/>
    <x v="0"/>
    <x v="6"/>
    <s v="Cognitive Behavioral Therapy"/>
    <s v="Referred to cognitive behavioral therapy to improve memory and thinking skills."/>
    <d v="2024-05-24T00:00:00"/>
    <d v="2024-06-12T00:00:00"/>
    <n v="17072.330000000002"/>
    <n v="19"/>
    <x v="5"/>
    <x v="3"/>
    <n v="90"/>
  </r>
  <r>
    <s v="c754c929-71f4-47f2-b8fa-741ee84a4829"/>
    <s v="Mark Phillips"/>
    <d v="2016-06-14T00:00:00"/>
    <x v="0"/>
    <x v="7"/>
    <s v="Medication"/>
    <s v="Patient requires home oxygen therapy."/>
    <d v="2022-10-15T00:00:00"/>
    <d v="2022-11-14T00:00:00"/>
    <n v="17063.689999999999"/>
    <n v="30"/>
    <x v="8"/>
    <x v="0"/>
    <n v="6"/>
  </r>
  <r>
    <s v="639befc7-84ac-46bd-af5b-a569ea207f96"/>
    <s v="Dillon Clark"/>
    <d v="1995-06-11T00:00:00"/>
    <x v="0"/>
    <x v="4"/>
    <s v="Speech Therapy"/>
    <s v="Speech therapy initiated to address language difficulties."/>
    <d v="2023-06-10T00:00:00"/>
    <d v="2023-07-03T00:00:00"/>
    <n v="17028.240000000002"/>
    <n v="23"/>
    <x v="4"/>
    <x v="1"/>
    <n v="27"/>
  </r>
  <r>
    <s v="63274d00-7eaf-448d-b4cc-a10418e58ac4"/>
    <s v="Andrew Le"/>
    <d v="1932-12-06T00:00:00"/>
    <x v="1"/>
    <x v="6"/>
    <s v="Medication"/>
    <s v="Started on medication to slow progression of symptoms."/>
    <d v="2022-08-28T00:00:00"/>
    <d v="2022-09-13T00:00:00"/>
    <n v="16991.59"/>
    <n v="16"/>
    <x v="7"/>
    <x v="0"/>
    <n v="89"/>
  </r>
  <r>
    <s v="15fc414c-dbb4-40db-9b37-8dcd8b35b964"/>
    <s v="Teresa Williams"/>
    <d v="1923-11-03T00:00:00"/>
    <x v="0"/>
    <x v="9"/>
    <s v="Medication"/>
    <s v="Initiated dopaminergic medication for symptom control."/>
    <d v="2024-04-21T00:00:00"/>
    <d v="2024-05-08T00:00:00"/>
    <n v="16901.59"/>
    <n v="17"/>
    <x v="9"/>
    <x v="3"/>
    <n v="100"/>
  </r>
  <r>
    <s v="15261af4-db23-4acd-af61-995d280ee4c5"/>
    <s v="Traci Fuller"/>
    <d v="1973-05-28T00:00:00"/>
    <x v="1"/>
    <x v="3"/>
    <s v="Antiviral Drugs"/>
    <s v="Patient tested positive for COVID-19; started on antiviral drugs."/>
    <d v="2024-02-28T00:00:00"/>
    <d v="2024-03-23T00:00:00"/>
    <n v="16855.080000000002"/>
    <n v="24"/>
    <x v="11"/>
    <x v="3"/>
    <n v="50"/>
  </r>
  <r>
    <s v="d57d4fc3-8b86-42b2-9098-c40cdd802b40"/>
    <s v="Tara Mooney"/>
    <d v="1930-06-17T00:00:00"/>
    <x v="0"/>
    <x v="8"/>
    <s v="Hospitalization"/>
    <s v="Started on broad-spectrum antibiotics."/>
    <d v="2023-09-27T00:00:00"/>
    <d v="2023-10-24T00:00:00"/>
    <n v="16708.080000000002"/>
    <n v="27"/>
    <x v="6"/>
    <x v="1"/>
    <n v="93"/>
  </r>
  <r>
    <s v="566af25d-dc49-472f-8728-c5eda762b23f"/>
    <s v="Jacob Spencer"/>
    <d v="1995-12-17T00:00:00"/>
    <x v="0"/>
    <x v="7"/>
    <s v="Oxygen Therapy"/>
    <s v="Patient requires home oxygen therapy."/>
    <d v="2023-01-20T00:00:00"/>
    <d v="2023-02-10T00:00:00"/>
    <n v="16619.25"/>
    <n v="21"/>
    <x v="1"/>
    <x v="1"/>
    <n v="27"/>
  </r>
  <r>
    <s v="9ad54d16-de54-4186-b62c-bdce1f894d50"/>
    <s v="Timothy Little"/>
    <d v="2016-12-11T00:00:00"/>
    <x v="0"/>
    <x v="6"/>
    <s v="Cognitive Behavioral Therapy"/>
    <s v="Referred to cognitive behavioral therapy to improve memory and thinking skills."/>
    <d v="2023-04-14T00:00:00"/>
    <d v="2023-05-02T00:00:00"/>
    <n v="16576.080000000002"/>
    <n v="18"/>
    <x v="9"/>
    <x v="1"/>
    <n v="6"/>
  </r>
  <r>
    <s v="ab73588a-a9e5-4c29-8595-ddd71dbafc71"/>
    <s v="Jennifer Rios"/>
    <d v="2000-04-25T00:00:00"/>
    <x v="1"/>
    <x v="7"/>
    <s v="Oxygen Therapy"/>
    <s v="Referred to pulmonary rehabilitation program."/>
    <d v="2024-02-06T00:00:00"/>
    <d v="2024-02-15T00:00:00"/>
    <n v="16464.66"/>
    <n v="9"/>
    <x v="11"/>
    <x v="3"/>
    <n v="23"/>
  </r>
  <r>
    <s v="e6f6de37-cc6f-41f5-9e43-601b69a5f6d1"/>
    <s v="April Clark"/>
    <d v="1969-03-31T00:00:00"/>
    <x v="1"/>
    <x v="1"/>
    <s v="Medication"/>
    <s v="Advised on dietary restrictions to support kidney function."/>
    <d v="2024-06-08T00:00:00"/>
    <d v="2024-06-11T00:00:00"/>
    <n v="16456.7"/>
    <n v="3"/>
    <x v="4"/>
    <x v="3"/>
    <n v="55"/>
  </r>
  <r>
    <s v="c50a5c30-2b2e-4b30-a797-5dbcb6a4206d"/>
    <s v="Tricia Williams"/>
    <d v="1966-08-21T00:00:00"/>
    <x v="0"/>
    <x v="6"/>
    <s v="Medication"/>
    <s v="Started on medication to slow progression of symptoms."/>
    <d v="2023-05-01T00:00:00"/>
    <d v="2023-05-23T00:00:00"/>
    <n v="16412.48"/>
    <n v="22"/>
    <x v="5"/>
    <x v="1"/>
    <n v="56"/>
  </r>
  <r>
    <s v="5a8a3c91-b6b3-4b63-9e95-05cd08687a95"/>
    <s v="Pamela Bailey"/>
    <d v="1975-05-02T00:00:00"/>
    <x v="0"/>
    <x v="6"/>
    <s v="Cognitive Behavioral Therapy"/>
    <s v="Started on medication to slow progression of symptoms."/>
    <d v="2022-07-22T00:00:00"/>
    <d v="2022-08-17T00:00:00"/>
    <n v="16367.78"/>
    <n v="26"/>
    <x v="2"/>
    <x v="0"/>
    <n v="47"/>
  </r>
  <r>
    <s v="f5469f2e-014d-4bb0-b4ed-41033682d87e"/>
    <s v="Adriana Johnson"/>
    <d v="1996-12-29T00:00:00"/>
    <x v="1"/>
    <x v="9"/>
    <s v="Medication"/>
    <s v="Discussed potential for deep brain stimulation surgery."/>
    <d v="2023-03-20T00:00:00"/>
    <d v="2023-04-17T00:00:00"/>
    <n v="16346.65"/>
    <n v="28"/>
    <x v="10"/>
    <x v="1"/>
    <n v="26"/>
  </r>
  <r>
    <s v="ebd79a05-d602-4c53-848e-3e5de055de34"/>
    <s v="Anthony Brown"/>
    <d v="1952-04-09T00:00:00"/>
    <x v="1"/>
    <x v="6"/>
    <s v="Medication"/>
    <s v="Referred to cognitive behavioral therapy to improve memory and thinking skills."/>
    <d v="2024-05-30T00:00:00"/>
    <d v="2024-06-03T00:00:00"/>
    <n v="16340.43"/>
    <n v="4"/>
    <x v="5"/>
    <x v="3"/>
    <n v="72"/>
  </r>
  <r>
    <s v="3274a803-88f6-46dd-9906-fae3b63366c8"/>
    <s v="Laura Gray"/>
    <d v="2001-03-03T00:00:00"/>
    <x v="1"/>
    <x v="6"/>
    <s v="Medication"/>
    <s v="Started on medication to slow progression of symptoms."/>
    <d v="2022-12-29T00:00:00"/>
    <d v="2023-01-02T00:00:00"/>
    <n v="16334.51"/>
    <n v="4"/>
    <x v="0"/>
    <x v="0"/>
    <n v="21"/>
  </r>
  <r>
    <s v="3bbc35ca-ad8b-41e3-9bce-baf6751e3456"/>
    <s v="Craig Wells"/>
    <d v="1927-03-23T00:00:00"/>
    <x v="0"/>
    <x v="3"/>
    <s v="Oxygen Therapy"/>
    <s v="Monitor for any signs of respiratory failure."/>
    <d v="2023-06-12T00:00:00"/>
    <d v="2023-06-15T00:00:00"/>
    <n v="16291.35"/>
    <n v="3"/>
    <x v="4"/>
    <x v="1"/>
    <n v="96"/>
  </r>
  <r>
    <s v="17459f1b-9182-40d6-a527-10e4cf7c3f8a"/>
    <s v="Madison Anderson"/>
    <d v="1964-05-12T00:00:00"/>
    <x v="0"/>
    <x v="5"/>
    <s v="Physical Therapy"/>
    <s v="Discussed strategies to manage fatigue and other symptoms."/>
    <d v="2023-08-01T00:00:00"/>
    <d v="2023-08-11T00:00:00"/>
    <n v="16284.72"/>
    <n v="10"/>
    <x v="7"/>
    <x v="1"/>
    <n v="59"/>
  </r>
  <r>
    <s v="1256e26c-562f-4a1d-a9a3-57e6e2d037bc"/>
    <s v="Robert Ramos"/>
    <d v="2017-02-09T00:00:00"/>
    <x v="1"/>
    <x v="8"/>
    <s v="Hospitalization"/>
    <s v="Hospitalized for closer monitoring and oxygen therapy."/>
    <d v="2022-08-23T00:00:00"/>
    <d v="2022-09-11T00:00:00"/>
    <n v="16158.65"/>
    <n v="19"/>
    <x v="7"/>
    <x v="0"/>
    <n v="5"/>
  </r>
  <r>
    <s v="1ee3057e-f1a7-4657-844b-a07e63ffdf74"/>
    <s v="Roger Cardenas"/>
    <d v="2012-07-11T00:00:00"/>
    <x v="0"/>
    <x v="7"/>
    <s v="Oxygen Therapy"/>
    <s v="Referred to pulmonary rehabilitation program."/>
    <d v="2023-03-30T00:00:00"/>
    <d v="2023-04-04T00:00:00"/>
    <n v="15974.31"/>
    <n v="5"/>
    <x v="10"/>
    <x v="1"/>
    <n v="10"/>
  </r>
  <r>
    <s v="1476734d-1b07-4f8b-a48d-9c9ca8a26dd3"/>
    <s v="Catherine Arellano"/>
    <d v="1933-06-23T00:00:00"/>
    <x v="0"/>
    <x v="5"/>
    <s v="Medication"/>
    <s v="Discussed strategies to manage fatigue and other symptoms."/>
    <d v="2023-12-09T00:00:00"/>
    <d v="2023-12-19T00:00:00"/>
    <n v="15932.97"/>
    <n v="10"/>
    <x v="0"/>
    <x v="1"/>
    <n v="90"/>
  </r>
  <r>
    <s v="bf502320-6cfd-4130-814f-e9f94b305e5e"/>
    <s v="Stephanie Arellano"/>
    <d v="1971-10-30T00:00:00"/>
    <x v="1"/>
    <x v="8"/>
    <s v="Hospitalization"/>
    <s v="Started on broad-spectrum antibiotics."/>
    <d v="2023-08-17T00:00:00"/>
    <d v="2023-09-04T00:00:00"/>
    <n v="15882.47"/>
    <n v="18"/>
    <x v="7"/>
    <x v="1"/>
    <n v="51"/>
  </r>
  <r>
    <s v="42c2f799-1c8b-4006-b654-2654dd10602f"/>
    <s v="Trevor Johnson"/>
    <d v="1965-05-28T00:00:00"/>
    <x v="0"/>
    <x v="9"/>
    <s v="Medication"/>
    <s v="Initiated dopaminergic medication for symptom control."/>
    <d v="2022-03-03T00:00:00"/>
    <d v="2022-03-27T00:00:00"/>
    <n v="15848.64"/>
    <n v="24"/>
    <x v="10"/>
    <x v="0"/>
    <n v="56"/>
  </r>
  <r>
    <s v="06b38d1c-ba1e-4cec-9c61-44bc42b57ab8"/>
    <s v="Joel Shaw"/>
    <d v="1996-07-31T00:00:00"/>
    <x v="1"/>
    <x v="3"/>
    <s v="Antiviral Drugs"/>
    <s v="Monitor for any signs of respiratory failure."/>
    <d v="2022-06-27T00:00:00"/>
    <d v="2022-07-09T00:00:00"/>
    <n v="15844.22"/>
    <n v="12"/>
    <x v="4"/>
    <x v="0"/>
    <n v="25"/>
  </r>
  <r>
    <s v="28dcac79-0a71-40c7-9be4-ffe653c8bae4"/>
    <s v="Cory Sandoval"/>
    <d v="1961-12-17T00:00:00"/>
    <x v="0"/>
    <x v="6"/>
    <s v="Medication"/>
    <s v="Started on medication to slow progression of symptoms."/>
    <d v="2022-06-02T00:00:00"/>
    <d v="2022-06-30T00:00:00"/>
    <n v="15829.2"/>
    <n v="28"/>
    <x v="4"/>
    <x v="0"/>
    <n v="60"/>
  </r>
  <r>
    <s v="12b06dee-a270-4b9f-8974-459fd60ba4ef"/>
    <s v="Katelyn Johnston"/>
    <d v="1948-02-23T00:00:00"/>
    <x v="1"/>
    <x v="4"/>
    <s v="Speech Therapy"/>
    <s v="Referred to physical therapy for mobility improvement."/>
    <d v="2024-02-04T00:00:00"/>
    <d v="2024-02-29T00:00:00"/>
    <n v="15785.89"/>
    <n v="25"/>
    <x v="11"/>
    <x v="3"/>
    <n v="75"/>
  </r>
  <r>
    <s v="043a33b6-3311-4d78-838e-0aaa2b588059"/>
    <s v="Veronica Moore"/>
    <d v="1965-07-31T00:00:00"/>
    <x v="0"/>
    <x v="5"/>
    <s v="Physical Therapy"/>
    <s v="Referred to physical therapy to maintain muscle strength."/>
    <d v="2022-08-07T00:00:00"/>
    <d v="2022-08-12T00:00:00"/>
    <n v="15724.89"/>
    <n v="5"/>
    <x v="7"/>
    <x v="0"/>
    <n v="57"/>
  </r>
  <r>
    <s v="0ef71978-c2b6-4bdf-8087-d44fec088443"/>
    <s v="Stephen Richardson"/>
    <d v="2008-10-27T00:00:00"/>
    <x v="0"/>
    <x v="8"/>
    <s v="Oxygen Therapy"/>
    <s v="Started on broad-spectrum antibiotics."/>
    <d v="2023-05-02T00:00:00"/>
    <d v="2023-05-13T00:00:00"/>
    <n v="15716.46"/>
    <n v="11"/>
    <x v="5"/>
    <x v="1"/>
    <n v="14"/>
  </r>
  <r>
    <s v="4cd832bd-791b-426d-9501-15520a750e51"/>
    <s v="Alicia Kelly"/>
    <d v="1959-06-14T00:00:00"/>
    <x v="1"/>
    <x v="4"/>
    <s v="Physical Therapy"/>
    <s v="Monitored for signs of stroke recurrence."/>
    <d v="2022-02-26T00:00:00"/>
    <d v="2022-03-24T00:00:00"/>
    <n v="15515.37"/>
    <n v="26"/>
    <x v="11"/>
    <x v="0"/>
    <n v="62"/>
  </r>
  <r>
    <s v="b1e3fe8e-d947-4dc0-ad4c-8bcc34cd0169"/>
    <s v="Kathleen Cohen"/>
    <d v="1962-01-09T00:00:00"/>
    <x v="1"/>
    <x v="3"/>
    <s v="Antiviral Drugs"/>
    <s v="Monitor for any signs of respiratory failure."/>
    <d v="2021-08-08T00:00:00"/>
    <d v="2021-08-27T00:00:00"/>
    <n v="15423.02"/>
    <n v="19"/>
    <x v="7"/>
    <x v="2"/>
    <n v="59"/>
  </r>
  <r>
    <s v="07b46259-07fb-4c62-bbc4-683f5356a5e6"/>
    <s v="Michael Perry"/>
    <d v="2014-09-24T00:00:00"/>
    <x v="1"/>
    <x v="8"/>
    <s v="Hospitalization"/>
    <s v="Hospitalized for closer monitoring and oxygen therapy."/>
    <d v="2023-09-12T00:00:00"/>
    <d v="2023-09-19T00:00:00"/>
    <n v="15379.4"/>
    <n v="7"/>
    <x v="6"/>
    <x v="1"/>
    <n v="8"/>
  </r>
  <r>
    <s v="df2b7cfb-de0c-4279-bee0-57a3726f7ea0"/>
    <s v="Karen Dougherty"/>
    <d v="1976-10-30T00:00:00"/>
    <x v="0"/>
    <x v="6"/>
    <s v="Medication"/>
    <s v="Discussed with family about disease progression and care options."/>
    <d v="2022-04-16T00:00:00"/>
    <d v="2022-05-06T00:00:00"/>
    <n v="15309.39"/>
    <n v="20"/>
    <x v="9"/>
    <x v="0"/>
    <n v="45"/>
  </r>
  <r>
    <s v="baadc7b3-7058-46a3-a6f0-2aec382ab480"/>
    <s v="Lisa Mills"/>
    <d v="1924-07-18T00:00:00"/>
    <x v="0"/>
    <x v="9"/>
    <s v="Physical Therapy"/>
    <s v="Initiated dopaminergic medication for symptom control."/>
    <d v="2024-07-05T00:00:00"/>
    <d v="2024-07-29T00:00:00"/>
    <n v="15288.56"/>
    <n v="24"/>
    <x v="2"/>
    <x v="3"/>
    <n v="99"/>
  </r>
  <r>
    <s v="cc3450f4-8fe7-4728-9ea1-c291ea879fe5"/>
    <s v="Sabrina Schwartz"/>
    <d v="1943-09-13T00:00:00"/>
    <x v="0"/>
    <x v="4"/>
    <s v="Speech Therapy"/>
    <s v="Monitored for signs of stroke recurrence."/>
    <d v="2024-01-04T00:00:00"/>
    <d v="2024-02-03T00:00:00"/>
    <n v="15273.44"/>
    <n v="30"/>
    <x v="1"/>
    <x v="3"/>
    <n v="80"/>
  </r>
  <r>
    <s v="8da27ad5-ea01-44a0-89c9-0058ede8dbdc"/>
    <s v="Timothy White"/>
    <d v="1933-11-23T00:00:00"/>
    <x v="1"/>
    <x v="8"/>
    <s v="Oxygen Therapy"/>
    <s v="Hospitalized for closer monitoring and oxygen therapy."/>
    <d v="2023-09-07T00:00:00"/>
    <d v="2023-09-18T00:00:00"/>
    <n v="15263.7"/>
    <n v="11"/>
    <x v="6"/>
    <x v="1"/>
    <n v="89"/>
  </r>
  <r>
    <s v="ab01271a-7eaf-4abc-b58f-199b672126e4"/>
    <s v="Maurice Allen"/>
    <d v="2011-06-12T00:00:00"/>
    <x v="0"/>
    <x v="9"/>
    <s v="Medication"/>
    <s v="Discussed potential for deep brain stimulation surgery."/>
    <d v="2023-05-17T00:00:00"/>
    <d v="2023-06-15T00:00:00"/>
    <n v="15241.36"/>
    <n v="29"/>
    <x v="5"/>
    <x v="1"/>
    <n v="11"/>
  </r>
  <r>
    <s v="525298e9-90b0-40e9-9175-7d873d7c18e3"/>
    <s v="Virginia Shields"/>
    <d v="1987-09-13T00:00:00"/>
    <x v="1"/>
    <x v="4"/>
    <s v="Physical Therapy"/>
    <s v="Referred to physical therapy for mobility improvement."/>
    <d v="2023-01-16T00:00:00"/>
    <d v="2023-01-22T00:00:00"/>
    <n v="15077.03"/>
    <n v="6"/>
    <x v="1"/>
    <x v="1"/>
    <n v="35"/>
  </r>
  <r>
    <s v="6b7c13b6-9eed-432b-b7cb-6d417641fbd7"/>
    <s v="Lori Shaw"/>
    <d v="1943-09-21T00:00:00"/>
    <x v="1"/>
    <x v="8"/>
    <s v="Hospitalization"/>
    <s v="Monitor for any signs of respiratory distress."/>
    <d v="2023-06-19T00:00:00"/>
    <d v="2023-07-19T00:00:00"/>
    <n v="14987.34"/>
    <n v="30"/>
    <x v="4"/>
    <x v="1"/>
    <n v="79"/>
  </r>
  <r>
    <s v="537ec85d-550e-403d-b5ed-9438eb636ff4"/>
    <s v="Austin Nguyen"/>
    <d v="1947-03-23T00:00:00"/>
    <x v="1"/>
    <x v="9"/>
    <s v="Medication"/>
    <s v="Discussed potential for deep brain stimulation surgery."/>
    <d v="2023-02-07T00:00:00"/>
    <d v="2023-02-24T00:00:00"/>
    <n v="14921.84"/>
    <n v="17"/>
    <x v="11"/>
    <x v="1"/>
    <n v="75"/>
  </r>
  <r>
    <s v="be700cbe-caa1-4037-902d-02790b26e671"/>
    <s v="Carol Rodriguez"/>
    <d v="1963-04-29T00:00:00"/>
    <x v="1"/>
    <x v="1"/>
    <s v="Medication"/>
    <s v="Advised on dietary restrictions to support kidney function."/>
    <d v="2023-10-31T00:00:00"/>
    <d v="2023-11-20T00:00:00"/>
    <n v="14910.1"/>
    <n v="20"/>
    <x v="8"/>
    <x v="1"/>
    <n v="60"/>
  </r>
  <r>
    <s v="13102410-5707-42a9-9bb8-36d5da80dcb0"/>
    <s v="Cynthia Thompson"/>
    <d v="1986-01-03T00:00:00"/>
    <x v="0"/>
    <x v="9"/>
    <s v="Medication"/>
    <s v="Initiated dopaminergic medication for symptom control."/>
    <d v="2022-05-03T00:00:00"/>
    <d v="2022-05-18T00:00:00"/>
    <n v="14838.71"/>
    <n v="15"/>
    <x v="5"/>
    <x v="0"/>
    <n v="36"/>
  </r>
  <r>
    <s v="1aa907bb-fe69-4fb7-ba78-d544a4c74115"/>
    <s v="Matthew Graham"/>
    <d v="1935-08-24T00:00:00"/>
    <x v="1"/>
    <x v="6"/>
    <s v="Medication"/>
    <s v="Discussed with family about disease progression and care options."/>
    <d v="2023-01-24T00:00:00"/>
    <d v="2023-02-16T00:00:00"/>
    <n v="14836.84"/>
    <n v="23"/>
    <x v="1"/>
    <x v="1"/>
    <n v="87"/>
  </r>
  <r>
    <s v="26262751-90f7-4406-ac58-a1c2cb464feb"/>
    <s v="Kari Williams"/>
    <d v="1950-09-16T00:00:00"/>
    <x v="0"/>
    <x v="6"/>
    <s v="Cognitive Behavioral Therapy"/>
    <s v="Discussed with family about disease progression and care options."/>
    <d v="2022-02-16T00:00:00"/>
    <d v="2022-03-13T00:00:00"/>
    <n v="14826.91"/>
    <n v="25"/>
    <x v="11"/>
    <x v="0"/>
    <n v="71"/>
  </r>
  <r>
    <s v="dbb85205-367a-4c29-9e71-b392174f5ab0"/>
    <s v="David Wallace"/>
    <d v="1956-06-14T00:00:00"/>
    <x v="0"/>
    <x v="6"/>
    <s v="Medication"/>
    <s v="Started on medication to slow progression of symptoms."/>
    <d v="2022-05-09T00:00:00"/>
    <d v="2022-06-06T00:00:00"/>
    <n v="14759.68"/>
    <n v="28"/>
    <x v="5"/>
    <x v="0"/>
    <n v="65"/>
  </r>
  <r>
    <s v="d921c7ba-d915-48bc-a5bc-9a517d79f5d8"/>
    <s v="Matthew Dawson"/>
    <d v="1959-11-11T00:00:00"/>
    <x v="0"/>
    <x v="4"/>
    <s v="Speech Therapy"/>
    <s v="Monitored for signs of stroke recurrence."/>
    <d v="2024-01-28T00:00:00"/>
    <d v="2024-02-14T00:00:00"/>
    <n v="14717.69"/>
    <n v="17"/>
    <x v="1"/>
    <x v="3"/>
    <n v="64"/>
  </r>
  <r>
    <s v="761a6a7f-acf6-4f0f-b825-887b9451ac1e"/>
    <s v="Rebecca Miller"/>
    <d v="1929-07-28T00:00:00"/>
    <x v="1"/>
    <x v="9"/>
    <s v="Physical Therapy"/>
    <s v="Discussed potential for deep brain stimulation surgery."/>
    <d v="2022-09-19T00:00:00"/>
    <d v="2022-09-27T00:00:00"/>
    <n v="14698.99"/>
    <n v="8"/>
    <x v="6"/>
    <x v="0"/>
    <n v="93"/>
  </r>
  <r>
    <s v="fe1e0bc3-6099-4913-90b2-e9cd77ecc6b2"/>
    <s v="Nicholas Bradley"/>
    <d v="2021-04-07T00:00:00"/>
    <x v="0"/>
    <x v="1"/>
    <s v="Dialysis"/>
    <s v="Patient started on dialysis; discussed procedure and schedule."/>
    <d v="2022-05-09T00:00:00"/>
    <d v="2022-06-01T00:00:00"/>
    <n v="14693.26"/>
    <n v="23"/>
    <x v="5"/>
    <x v="0"/>
    <n v="1"/>
  </r>
  <r>
    <s v="40fac969-94d3-494c-927c-eb57b5f4fdd9"/>
    <s v="Courtney Ramos MD"/>
    <d v="1988-10-04T00:00:00"/>
    <x v="1"/>
    <x v="4"/>
    <s v="Speech Therapy"/>
    <s v="Monitored for signs of stroke recurrence."/>
    <d v="2024-05-04T00:00:00"/>
    <d v="2024-05-07T00:00:00"/>
    <n v="14652.14"/>
    <n v="3"/>
    <x v="5"/>
    <x v="3"/>
    <n v="35"/>
  </r>
  <r>
    <s v="921d93d1-17b8-426f-abae-5b16c7e5cd93"/>
    <s v="Debra Griffith"/>
    <d v="1971-04-01T00:00:00"/>
    <x v="0"/>
    <x v="7"/>
    <s v="Medication"/>
    <s v="Patient requires home oxygen therapy."/>
    <d v="2021-07-12T00:00:00"/>
    <d v="2021-07-13T00:00:00"/>
    <n v="14651.34"/>
    <n v="1"/>
    <x v="2"/>
    <x v="2"/>
    <n v="50"/>
  </r>
  <r>
    <s v="f77b95bb-6778-41c8-9661-19ab0465e954"/>
    <s v="Gregory Fisher"/>
    <d v="2000-03-04T00:00:00"/>
    <x v="0"/>
    <x v="2"/>
    <s v="Medication"/>
    <s v="Prescribed beta-blockers and statins."/>
    <d v="2021-10-08T00:00:00"/>
    <d v="2021-10-30T00:00:00"/>
    <n v="14544.14"/>
    <n v="22"/>
    <x v="8"/>
    <x v="2"/>
    <n v="21"/>
  </r>
  <r>
    <s v="d23b1634-0a96-48a2-9dd4-76367915fc04"/>
    <s v="Kevin Holland"/>
    <d v="1958-07-10T00:00:00"/>
    <x v="1"/>
    <x v="9"/>
    <s v="Physical Therapy"/>
    <s v="Referred to physical therapy to improve mobility and balance."/>
    <d v="2023-03-30T00:00:00"/>
    <d v="2023-04-18T00:00:00"/>
    <n v="14530.3"/>
    <n v="19"/>
    <x v="10"/>
    <x v="1"/>
    <n v="64"/>
  </r>
  <r>
    <s v="1ac81732-7afc-4e50-b20c-d95b623dd905"/>
    <s v="Stacy Lucero"/>
    <d v="1991-07-10T00:00:00"/>
    <x v="0"/>
    <x v="9"/>
    <s v="Physical Therapy"/>
    <s v="Discussed potential for deep brain stimulation surgery."/>
    <d v="2022-10-08T00:00:00"/>
    <d v="2022-10-25T00:00:00"/>
    <n v="14439.9"/>
    <n v="17"/>
    <x v="8"/>
    <x v="0"/>
    <n v="31"/>
  </r>
  <r>
    <s v="c234750e-f95b-488e-b39c-091ce938db2b"/>
    <s v="Rodney Brooks"/>
    <d v="2022-08-03T00:00:00"/>
    <x v="1"/>
    <x v="10"/>
    <s v="Surgery"/>
    <s v="Antiepileptic medication prescribed; monitor for side effects."/>
    <d v="2022-09-02T00:00:00"/>
    <d v="2022-09-22T00:00:00"/>
    <n v="14405.82"/>
    <n v="20"/>
    <x v="6"/>
    <x v="0"/>
    <n v="0"/>
  </r>
  <r>
    <s v="053cfbb4-e309-48f3-8147-ee2f9e70b621"/>
    <s v="Christina Maldonado"/>
    <d v="1954-12-01T00:00:00"/>
    <x v="1"/>
    <x v="3"/>
    <s v="Antiviral Drugs"/>
    <s v="Patient tested positive for COVID-19; started on antiviral drugs."/>
    <d v="2023-02-19T00:00:00"/>
    <d v="2023-03-20T00:00:00"/>
    <n v="14389.28"/>
    <n v="29"/>
    <x v="11"/>
    <x v="1"/>
    <n v="68"/>
  </r>
  <r>
    <s v="23a6d5eb-fff6-406e-b960-64103e7038f0"/>
    <s v="Patricia Fox"/>
    <d v="1993-04-04T00:00:00"/>
    <x v="0"/>
    <x v="6"/>
    <s v="Cognitive Behavioral Therapy"/>
    <s v="Discussed with family about disease progression and care options."/>
    <d v="2024-06-25T00:00:00"/>
    <d v="2024-07-10T00:00:00"/>
    <n v="14298.62"/>
    <n v="15"/>
    <x v="4"/>
    <x v="3"/>
    <n v="31"/>
  </r>
  <r>
    <s v="6d0d487f-0dc0-4c11-86d4-ce002b802f75"/>
    <s v="Brandon Sherman"/>
    <d v="1927-07-29T00:00:00"/>
    <x v="0"/>
    <x v="8"/>
    <s v="Oxygen Therapy"/>
    <s v="Started on broad-spectrum antibiotics."/>
    <d v="2023-02-10T00:00:00"/>
    <d v="2023-03-07T00:00:00"/>
    <n v="14290.38"/>
    <n v="25"/>
    <x v="11"/>
    <x v="1"/>
    <n v="95"/>
  </r>
  <r>
    <s v="4707fb20-7093-4344-a934-05123dbc8ffb"/>
    <s v="Zachary Fritz"/>
    <d v="1948-09-01T00:00:00"/>
    <x v="1"/>
    <x v="5"/>
    <s v="Medication"/>
    <s v="Referred to physical therapy to maintain muscle strength."/>
    <d v="2021-10-30T00:00:00"/>
    <d v="2021-11-19T00:00:00"/>
    <n v="14195.56"/>
    <n v="20"/>
    <x v="8"/>
    <x v="2"/>
    <n v="73"/>
  </r>
  <r>
    <s v="318822d0-4a2d-4ae1-bfa3-7eb137c510ef"/>
    <s v="Joshua Hayes"/>
    <d v="1964-12-03T00:00:00"/>
    <x v="0"/>
    <x v="9"/>
    <s v="Medication"/>
    <s v="Referred to physical therapy to improve mobility and balance."/>
    <d v="2023-05-10T00:00:00"/>
    <d v="2023-06-02T00:00:00"/>
    <n v="14147.35"/>
    <n v="23"/>
    <x v="5"/>
    <x v="1"/>
    <n v="58"/>
  </r>
  <r>
    <s v="7a83ada5-c565-4bb0-a7c8-07ed22fc8c16"/>
    <s v="Susan Reyes"/>
    <d v="2014-06-21T00:00:00"/>
    <x v="0"/>
    <x v="10"/>
    <s v="Surgery"/>
    <s v="Advised to maintain a seizure diary."/>
    <d v="2023-04-18T00:00:00"/>
    <d v="2023-04-23T00:00:00"/>
    <n v="14080.25"/>
    <n v="5"/>
    <x v="9"/>
    <x v="1"/>
    <n v="8"/>
  </r>
  <r>
    <s v="d8866069-e3b1-40fd-99d4-41ed8c922ee4"/>
    <s v="Melody Robertson"/>
    <d v="2006-08-30T00:00:00"/>
    <x v="1"/>
    <x v="1"/>
    <s v="Medication"/>
    <s v="Patient started on dialysis; discussed procedure and schedule."/>
    <d v="2021-11-04T00:00:00"/>
    <d v="2021-11-05T00:00:00"/>
    <n v="14070.18"/>
    <n v="1"/>
    <x v="3"/>
    <x v="2"/>
    <n v="15"/>
  </r>
  <r>
    <s v="128f4021-6e67-494a-9170-4674b452a7c2"/>
    <s v="Raymond Mcintosh"/>
    <d v="1993-01-19T00:00:00"/>
    <x v="0"/>
    <x v="1"/>
    <s v="Dialysis"/>
    <s v="Patient started on dialysis; discussed procedure and schedule."/>
    <d v="2023-12-09T00:00:00"/>
    <d v="2024-01-08T00:00:00"/>
    <n v="14012.47"/>
    <n v="30"/>
    <x v="0"/>
    <x v="1"/>
    <n v="30"/>
  </r>
  <r>
    <s v="79503efc-99e6-4b95-a036-f8d5c0fc263e"/>
    <s v="Ryan Tanner"/>
    <d v="2013-12-24T00:00:00"/>
    <x v="0"/>
    <x v="1"/>
    <s v="Medication"/>
    <s v="Patient started on dialysis; discussed procedure and schedule."/>
    <d v="2021-09-26T00:00:00"/>
    <d v="2021-10-13T00:00:00"/>
    <n v="14011.74"/>
    <n v="17"/>
    <x v="6"/>
    <x v="2"/>
    <n v="7"/>
  </r>
  <r>
    <s v="2f090e2b-f249-4fc6-9a16-ec73eb1be554"/>
    <s v="Rachel Hill"/>
    <d v="1924-06-12T00:00:00"/>
    <x v="1"/>
    <x v="10"/>
    <s v="Surgery"/>
    <s v="Antiepileptic medication prescribed; monitor for side effects."/>
    <d v="2023-04-30T00:00:00"/>
    <d v="2023-05-15T00:00:00"/>
    <n v="13960.12"/>
    <n v="15"/>
    <x v="9"/>
    <x v="1"/>
    <n v="98"/>
  </r>
  <r>
    <s v="2754c99a-e956-406e-b924-2c7e889bbd49"/>
    <s v="Corey Davies"/>
    <d v="1986-02-13T00:00:00"/>
    <x v="1"/>
    <x v="10"/>
    <s v="Medication"/>
    <s v="Discussed surgical options for refractory epilepsy."/>
    <d v="2021-11-29T00:00:00"/>
    <d v="2021-12-27T00:00:00"/>
    <n v="13924.19"/>
    <n v="28"/>
    <x v="3"/>
    <x v="2"/>
    <n v="35"/>
  </r>
  <r>
    <s v="7f425133-f186-41a8-952e-84ed9f6b84cc"/>
    <s v="Emily Velasquez"/>
    <d v="2020-09-22T00:00:00"/>
    <x v="0"/>
    <x v="4"/>
    <s v="Speech Therapy"/>
    <s v="Speech therapy initiated to address language difficulties."/>
    <d v="2021-07-17T00:00:00"/>
    <d v="2021-08-08T00:00:00"/>
    <n v="13922.34"/>
    <n v="22"/>
    <x v="2"/>
    <x v="2"/>
    <n v="0"/>
  </r>
  <r>
    <s v="6d8f9366-8f2d-4b07-9f81-c2b68a84cd40"/>
    <s v="Alan Lloyd"/>
    <d v="1995-03-27T00:00:00"/>
    <x v="0"/>
    <x v="4"/>
    <s v="Speech Therapy"/>
    <s v="Monitored for signs of stroke recurrence."/>
    <d v="2023-01-16T00:00:00"/>
    <d v="2023-01-18T00:00:00"/>
    <n v="13911.1"/>
    <n v="2"/>
    <x v="1"/>
    <x v="1"/>
    <n v="27"/>
  </r>
  <r>
    <s v="4f55ed91-0725-4498-b6ce-7e089a77e2b5"/>
    <s v="Ryan Evans"/>
    <d v="1923-10-28T00:00:00"/>
    <x v="0"/>
    <x v="4"/>
    <s v="Speech Therapy"/>
    <s v="Referred to physical therapy for mobility improvement."/>
    <d v="2024-03-21T00:00:00"/>
    <d v="2024-03-26T00:00:00"/>
    <n v="13880.93"/>
    <n v="5"/>
    <x v="10"/>
    <x v="3"/>
    <n v="100"/>
  </r>
  <r>
    <s v="683a5df1-c8cf-4533-9ce0-05f5bfb2c10b"/>
    <s v="Stephanie Hart"/>
    <d v="1949-09-18T00:00:00"/>
    <x v="0"/>
    <x v="10"/>
    <s v="Medication"/>
    <s v="Advised to maintain a seizure diary."/>
    <d v="2022-05-13T00:00:00"/>
    <d v="2022-05-14T00:00:00"/>
    <n v="13872.07"/>
    <n v="1"/>
    <x v="5"/>
    <x v="0"/>
    <n v="72"/>
  </r>
  <r>
    <s v="8bb287ea-11c4-4af4-b721-479ea04de465"/>
    <s v="Kelly Henry"/>
    <d v="2013-02-02T00:00:00"/>
    <x v="0"/>
    <x v="6"/>
    <s v="Medication"/>
    <s v="Referred to cognitive behavioral therapy to improve memory and thinking skills."/>
    <d v="2022-10-30T00:00:00"/>
    <d v="2022-11-22T00:00:00"/>
    <n v="13686.26"/>
    <n v="23"/>
    <x v="8"/>
    <x v="0"/>
    <n v="9"/>
  </r>
  <r>
    <s v="8d00fed0-b25c-4f9e-96ac-d14a402a18d2"/>
    <s v="Dylan Johnson"/>
    <d v="2021-07-31T00:00:00"/>
    <x v="0"/>
    <x v="6"/>
    <s v="Cognitive Behavioral Therapy"/>
    <s v="Discussed with family about disease progression and care options."/>
    <d v="2024-04-10T00:00:00"/>
    <d v="2024-04-11T00:00:00"/>
    <n v="13666.77"/>
    <n v="1"/>
    <x v="9"/>
    <x v="3"/>
    <n v="2"/>
  </r>
  <r>
    <s v="2af6a789-36bd-4137-9d48-ca701948e8a3"/>
    <s v="Mary Townsend"/>
    <d v="1959-08-18T00:00:00"/>
    <x v="1"/>
    <x v="2"/>
    <s v="Medication"/>
    <s v="Prescribed beta-blockers and statins."/>
    <d v="2023-02-16T00:00:00"/>
    <d v="2023-02-21T00:00:00"/>
    <n v="13585.8"/>
    <n v="5"/>
    <x v="11"/>
    <x v="1"/>
    <n v="63"/>
  </r>
  <r>
    <s v="a9e58b7c-a054-4757-aab0-a52b6ef08f4a"/>
    <s v="Angela Green"/>
    <d v="2004-11-30T00:00:00"/>
    <x v="0"/>
    <x v="9"/>
    <s v="Physical Therapy"/>
    <s v="Initiated dopaminergic medication for symptom control."/>
    <d v="2023-07-16T00:00:00"/>
    <d v="2023-08-04T00:00:00"/>
    <n v="13532.38"/>
    <n v="19"/>
    <x v="2"/>
    <x v="1"/>
    <n v="18"/>
  </r>
  <r>
    <s v="e46941cc-9f86-49d8-a628-86c919d663ea"/>
    <s v="Curtis Cox"/>
    <d v="1992-09-07T00:00:00"/>
    <x v="0"/>
    <x v="5"/>
    <s v="Physical Therapy"/>
    <s v="Disease-modifying therapy initiated."/>
    <d v="2023-03-30T00:00:00"/>
    <d v="2023-04-10T00:00:00"/>
    <n v="13530.47"/>
    <n v="11"/>
    <x v="10"/>
    <x v="1"/>
    <n v="30"/>
  </r>
  <r>
    <s v="30e22762-b64d-43af-99b8-b0bfe232344b"/>
    <s v="Vanessa Conway"/>
    <d v="1929-07-15T00:00:00"/>
    <x v="0"/>
    <x v="6"/>
    <s v="Medication"/>
    <s v="Discussed with family about disease progression and care options."/>
    <d v="2023-08-24T00:00:00"/>
    <d v="2023-09-18T00:00:00"/>
    <n v="13513.47"/>
    <n v="25"/>
    <x v="7"/>
    <x v="1"/>
    <n v="94"/>
  </r>
  <r>
    <s v="851c4156-8f73-470b-a8af-756dfae8cea5"/>
    <s v="Kelly Miller"/>
    <d v="1952-08-20T00:00:00"/>
    <x v="1"/>
    <x v="10"/>
    <s v="Medication"/>
    <s v="Advised to maintain a seizure diary."/>
    <d v="2022-04-23T00:00:00"/>
    <d v="2022-05-11T00:00:00"/>
    <n v="13451.1"/>
    <n v="18"/>
    <x v="9"/>
    <x v="0"/>
    <n v="69"/>
  </r>
  <r>
    <s v="98b75bd7-1a3a-4a8d-8527-1db1f78c2128"/>
    <s v="Jennifer Leonard"/>
    <d v="1941-11-25T00:00:00"/>
    <x v="1"/>
    <x v="1"/>
    <s v="Medication"/>
    <s v="Advised on dietary restrictions to support kidney function."/>
    <d v="2023-11-25T00:00:00"/>
    <d v="2023-12-04T00:00:00"/>
    <n v="13428.39"/>
    <n v="9"/>
    <x v="3"/>
    <x v="1"/>
    <n v="82"/>
  </r>
  <r>
    <s v="85069869-eaa9-44c5-9265-aae4f7aa7f67"/>
    <s v="Caitlyn Fuentes"/>
    <d v="1931-06-09T00:00:00"/>
    <x v="0"/>
    <x v="6"/>
    <s v="Cognitive Behavioral Therapy"/>
    <s v="Referred to cognitive behavioral therapy to improve memory and thinking skills."/>
    <d v="2024-05-06T00:00:00"/>
    <d v="2024-05-19T00:00:00"/>
    <n v="13399.84"/>
    <n v="13"/>
    <x v="5"/>
    <x v="3"/>
    <n v="92"/>
  </r>
  <r>
    <s v="c0d40d89-c7ef-488b-82be-734537a1b559"/>
    <s v="Jonathan Parker"/>
    <d v="1976-05-13T00:00:00"/>
    <x v="0"/>
    <x v="6"/>
    <s v="Cognitive Behavioral Therapy"/>
    <s v="Discussed with family about disease progression and care options."/>
    <d v="2024-07-11T00:00:00"/>
    <d v="2024-07-14T00:00:00"/>
    <n v="13202.03"/>
    <n v="3"/>
    <x v="2"/>
    <x v="3"/>
    <n v="48"/>
  </r>
  <r>
    <s v="484119a8-66ca-499c-ad0e-61937fe083b5"/>
    <s v="Shirley May"/>
    <d v="1932-02-28T00:00:00"/>
    <x v="0"/>
    <x v="6"/>
    <s v="Cognitive Behavioral Therapy"/>
    <s v="Started on medication to slow progression of symptoms."/>
    <d v="2022-06-30T00:00:00"/>
    <d v="2022-07-03T00:00:00"/>
    <n v="13094.09"/>
    <n v="3"/>
    <x v="4"/>
    <x v="0"/>
    <n v="90"/>
  </r>
  <r>
    <s v="fdf2f192-7b2a-4982-b4e7-347dfd249217"/>
    <s v="Kyle Smith"/>
    <d v="1947-07-06T00:00:00"/>
    <x v="0"/>
    <x v="7"/>
    <s v="Medication"/>
    <s v="Prescribed long-term bronchodilators."/>
    <d v="2022-03-20T00:00:00"/>
    <d v="2022-04-15T00:00:00"/>
    <n v="13046.02"/>
    <n v="26"/>
    <x v="10"/>
    <x v="0"/>
    <n v="74"/>
  </r>
  <r>
    <s v="677a842e-af96-4148-887a-28f841ec65e5"/>
    <s v="Ellen Burgess"/>
    <d v="1963-08-26T00:00:00"/>
    <x v="0"/>
    <x v="9"/>
    <s v="Medication"/>
    <s v="Referred to physical therapy to improve mobility and balance."/>
    <d v="2023-12-19T00:00:00"/>
    <d v="2024-01-05T00:00:00"/>
    <n v="12911.13"/>
    <n v="17"/>
    <x v="0"/>
    <x v="1"/>
    <n v="60"/>
  </r>
  <r>
    <s v="09ade64b-6dfe-4d39-b754-28fddc0b9c3f"/>
    <s v="Joseph Carr"/>
    <d v="1993-05-28T00:00:00"/>
    <x v="0"/>
    <x v="5"/>
    <s v="Medication"/>
    <s v="Discussed strategies to manage fatigue and other symptoms."/>
    <d v="2022-09-18T00:00:00"/>
    <d v="2022-09-26T00:00:00"/>
    <n v="12882.22"/>
    <n v="8"/>
    <x v="6"/>
    <x v="0"/>
    <n v="29"/>
  </r>
  <r>
    <s v="1b154448-f708-4575-8f4b-20749fb898fe"/>
    <s v="Caroline Miller"/>
    <d v="2014-03-12T00:00:00"/>
    <x v="1"/>
    <x v="9"/>
    <s v="Medication"/>
    <s v="Discussed potential for deep brain stimulation surgery."/>
    <d v="2022-05-10T00:00:00"/>
    <d v="2022-05-29T00:00:00"/>
    <n v="12837.81"/>
    <n v="19"/>
    <x v="5"/>
    <x v="0"/>
    <n v="8"/>
  </r>
  <r>
    <s v="9e993de3-7708-4437-8f84-0a671de0dc8b"/>
    <s v="Christopher Davis"/>
    <d v="1973-03-05T00:00:00"/>
    <x v="0"/>
    <x v="1"/>
    <s v="Dialysis"/>
    <s v="Prescribed medication to manage blood pressure and protect kidneys."/>
    <d v="2023-06-24T00:00:00"/>
    <d v="2023-07-16T00:00:00"/>
    <n v="12773.31"/>
    <n v="22"/>
    <x v="4"/>
    <x v="1"/>
    <n v="50"/>
  </r>
  <r>
    <s v="75cdc78e-03fa-4296-9b3e-ddbe7f482f1c"/>
    <s v="Renee Lamb"/>
    <d v="1936-11-15T00:00:00"/>
    <x v="1"/>
    <x v="7"/>
    <s v="Medication"/>
    <s v="Patient requires home oxygen therapy."/>
    <d v="2021-09-24T00:00:00"/>
    <d v="2021-10-08T00:00:00"/>
    <n v="12696.72"/>
    <n v="14"/>
    <x v="6"/>
    <x v="2"/>
    <n v="84"/>
  </r>
  <r>
    <s v="728dbf3a-de8b-4bfe-a6b7-a529d7a54357"/>
    <s v="Daniel Jackson"/>
    <d v="1971-03-15T00:00:00"/>
    <x v="0"/>
    <x v="10"/>
    <s v="Medication"/>
    <s v="Discussed surgical options for refractory epilepsy."/>
    <d v="2024-01-08T00:00:00"/>
    <d v="2024-01-14T00:00:00"/>
    <n v="12693.82"/>
    <n v="6"/>
    <x v="1"/>
    <x v="3"/>
    <n v="52"/>
  </r>
  <r>
    <s v="118eb36c-2873-47fc-b062-730265232835"/>
    <s v="William Smith"/>
    <d v="1940-12-09T00:00:00"/>
    <x v="1"/>
    <x v="6"/>
    <s v="Medication"/>
    <s v="Referred to cognitive behavioral therapy to improve memory and thinking skills."/>
    <d v="2024-03-20T00:00:00"/>
    <d v="2024-04-14T00:00:00"/>
    <n v="12684.61"/>
    <n v="25"/>
    <x v="10"/>
    <x v="3"/>
    <n v="83"/>
  </r>
  <r>
    <s v="2534da89-ee4a-41dc-8455-dfbef1533885"/>
    <s v="Michael Brown"/>
    <d v="1985-03-28T00:00:00"/>
    <x v="0"/>
    <x v="8"/>
    <s v="Oxygen Therapy"/>
    <s v="Started on broad-spectrum antibiotics."/>
    <d v="2023-12-16T00:00:00"/>
    <d v="2023-12-26T00:00:00"/>
    <n v="12661.69"/>
    <n v="10"/>
    <x v="0"/>
    <x v="1"/>
    <n v="38"/>
  </r>
  <r>
    <s v="06cc725d-e3ff-4c6b-84e7-90480fec8867"/>
    <s v="Alicia Schaefer"/>
    <d v="1973-07-09T00:00:00"/>
    <x v="0"/>
    <x v="5"/>
    <s v="Medication"/>
    <s v="Referred to physical therapy to maintain muscle strength."/>
    <d v="2023-12-02T00:00:00"/>
    <d v="2023-12-14T00:00:00"/>
    <n v="12651.69"/>
    <n v="12"/>
    <x v="0"/>
    <x v="1"/>
    <n v="50"/>
  </r>
  <r>
    <s v="8c3052c8-a268-4a19-94a8-d3f2d3e19018"/>
    <s v="Megan Coffey"/>
    <d v="2008-10-25T00:00:00"/>
    <x v="1"/>
    <x v="9"/>
    <s v="Medication"/>
    <s v="Discussed potential for deep brain stimulation surgery."/>
    <d v="2021-12-28T00:00:00"/>
    <d v="2022-01-04T00:00:00"/>
    <n v="12614.47"/>
    <n v="7"/>
    <x v="0"/>
    <x v="2"/>
    <n v="13"/>
  </r>
  <r>
    <s v="85078e9b-7c20-45a2-9b30-33b233b23de3"/>
    <s v="Jamie Aguilar"/>
    <d v="2014-03-24T00:00:00"/>
    <x v="0"/>
    <x v="9"/>
    <s v="Physical Therapy"/>
    <s v="Discussed potential for deep brain stimulation surgery."/>
    <d v="2023-11-07T00:00:00"/>
    <d v="2023-11-21T00:00:00"/>
    <n v="12563.63"/>
    <n v="14"/>
    <x v="3"/>
    <x v="1"/>
    <n v="9"/>
  </r>
  <r>
    <s v="42af7e0c-b553-4fe0-9b05-bcf90eec17fc"/>
    <s v="Andrea Jones"/>
    <d v="1997-09-27T00:00:00"/>
    <x v="1"/>
    <x v="5"/>
    <s v="Physical Therapy"/>
    <s v="Disease-modifying therapy initiated."/>
    <d v="2023-12-25T00:00:00"/>
    <d v="2023-12-26T00:00:00"/>
    <n v="12544.43"/>
    <n v="1"/>
    <x v="0"/>
    <x v="1"/>
    <n v="26"/>
  </r>
  <r>
    <s v="3b0b5b91-ce6b-4032-80b8-76e54a8f7c29"/>
    <s v="John Rice"/>
    <d v="1985-04-28T00:00:00"/>
    <x v="1"/>
    <x v="7"/>
    <s v="Medication"/>
    <s v="Patient requires home oxygen therapy."/>
    <d v="2022-11-23T00:00:00"/>
    <d v="2022-12-22T00:00:00"/>
    <n v="12533.44"/>
    <n v="29"/>
    <x v="3"/>
    <x v="0"/>
    <n v="37"/>
  </r>
  <r>
    <s v="dfb895e0-4b05-4454-897f-db12a910e510"/>
    <s v="Cynthia Schmidt"/>
    <d v="1939-12-19T00:00:00"/>
    <x v="0"/>
    <x v="8"/>
    <s v="Oxygen Therapy"/>
    <s v="Monitor for any signs of respiratory distress."/>
    <d v="2023-04-03T00:00:00"/>
    <d v="2023-04-29T00:00:00"/>
    <n v="12527.18"/>
    <n v="26"/>
    <x v="9"/>
    <x v="1"/>
    <n v="83"/>
  </r>
  <r>
    <s v="2d31dd76-766c-4fba-9c1c-647e3b7ab736"/>
    <s v="Michael Barnett"/>
    <d v="1969-12-06T00:00:00"/>
    <x v="0"/>
    <x v="1"/>
    <s v="Dialysis"/>
    <s v="Patient started on dialysis; discussed procedure and schedule."/>
    <d v="2022-02-26T00:00:00"/>
    <d v="2022-03-14T00:00:00"/>
    <n v="12500.36"/>
    <n v="16"/>
    <x v="11"/>
    <x v="0"/>
    <n v="52"/>
  </r>
  <r>
    <s v="5238a1ca-f61a-4161-9733-1341d813e387"/>
    <s v="Terry Alvarez"/>
    <d v="1956-11-13T00:00:00"/>
    <x v="0"/>
    <x v="5"/>
    <s v="Physical Therapy"/>
    <s v="Referred to physical therapy to maintain muscle strength."/>
    <d v="2022-04-02T00:00:00"/>
    <d v="2022-05-01T00:00:00"/>
    <n v="12446.39"/>
    <n v="29"/>
    <x v="9"/>
    <x v="0"/>
    <n v="65"/>
  </r>
  <r>
    <s v="ff6f1b56-6f4c-417d-a66e-bc3c4ce968af"/>
    <s v="Albert Owens"/>
    <d v="1961-10-12T00:00:00"/>
    <x v="1"/>
    <x v="8"/>
    <s v="Antibiotics"/>
    <s v="Monitor for any signs of respiratory distress."/>
    <d v="2023-08-28T00:00:00"/>
    <d v="2023-09-13T00:00:00"/>
    <n v="12426.2"/>
    <n v="16"/>
    <x v="7"/>
    <x v="1"/>
    <n v="61"/>
  </r>
  <r>
    <s v="06386535-8ec1-4462-aa34-bf43786e1f68"/>
    <s v="Taylor Henderson"/>
    <d v="1982-06-06T00:00:00"/>
    <x v="0"/>
    <x v="5"/>
    <s v="Medication"/>
    <s v="Disease-modifying therapy initiated."/>
    <d v="2023-04-04T00:00:00"/>
    <d v="2023-04-16T00:00:00"/>
    <n v="12411.99"/>
    <n v="12"/>
    <x v="9"/>
    <x v="1"/>
    <n v="40"/>
  </r>
  <r>
    <s v="5636c672-cd10-4398-8f26-c5e1407689d3"/>
    <s v="Kari Warren"/>
    <d v="1945-12-12T00:00:00"/>
    <x v="0"/>
    <x v="4"/>
    <s v="Physical Therapy"/>
    <s v="Monitored for signs of stroke recurrence."/>
    <d v="2024-04-17T00:00:00"/>
    <d v="2024-04-28T00:00:00"/>
    <n v="12321.99"/>
    <n v="11"/>
    <x v="9"/>
    <x v="3"/>
    <n v="78"/>
  </r>
  <r>
    <s v="07f6873c-d62b-488b-abdd-f78083c3fdca"/>
    <s v="Robert Phillips"/>
    <d v="1986-01-21T00:00:00"/>
    <x v="0"/>
    <x v="6"/>
    <s v="Cognitive Behavioral Therapy"/>
    <s v="Started on medication to slow progression of symptoms."/>
    <d v="2022-04-06T00:00:00"/>
    <d v="2022-05-02T00:00:00"/>
    <n v="12186.67"/>
    <n v="26"/>
    <x v="9"/>
    <x v="0"/>
    <n v="36"/>
  </r>
  <r>
    <s v="e4fad67d-f6ca-49f9-b0bd-6578a3956bcd"/>
    <s v="Mr. Richard Garner"/>
    <d v="1997-01-09T00:00:00"/>
    <x v="1"/>
    <x v="1"/>
    <s v="Medication"/>
    <s v="Advised on dietary restrictions to support kidney function."/>
    <d v="2022-10-19T00:00:00"/>
    <d v="2022-11-11T00:00:00"/>
    <n v="12132.16"/>
    <n v="23"/>
    <x v="8"/>
    <x v="0"/>
    <n v="25"/>
  </r>
  <r>
    <s v="4abee7b8-8d85-4b41-a9e5-98c2bd98af43"/>
    <s v="Ryan Ray"/>
    <d v="1962-09-17T00:00:00"/>
    <x v="0"/>
    <x v="7"/>
    <s v="Medication"/>
    <s v="Prescribed long-term bronchodilators."/>
    <d v="2023-08-23T00:00:00"/>
    <d v="2023-09-22T00:00:00"/>
    <n v="11959.93"/>
    <n v="30"/>
    <x v="7"/>
    <x v="1"/>
    <n v="60"/>
  </r>
  <r>
    <s v="01b86b7d-86d4-4560-b24e-35045279297f"/>
    <s v="George Brown"/>
    <d v="1999-12-14T00:00:00"/>
    <x v="1"/>
    <x v="6"/>
    <s v="Cognitive Behavioral Therapy"/>
    <s v="Discussed with family about disease progression and care options."/>
    <d v="2021-09-16T00:00:00"/>
    <d v="2021-09-30T00:00:00"/>
    <n v="11888.72"/>
    <n v="14"/>
    <x v="6"/>
    <x v="2"/>
    <n v="21"/>
  </r>
  <r>
    <s v="c48a671a-b9f9-49d9-b015-65554ec7467f"/>
    <s v="David Hill"/>
    <d v="2023-12-23T00:00:00"/>
    <x v="1"/>
    <x v="8"/>
    <s v="Hospitalization"/>
    <s v="Hospitalized for closer monitoring and oxygen therapy."/>
    <d v="2024-03-19T00:00:00"/>
    <d v="2024-04-05T00:00:00"/>
    <n v="11699.14"/>
    <n v="17"/>
    <x v="10"/>
    <x v="3"/>
    <n v="0"/>
  </r>
  <r>
    <s v="24abf24f-d697-4a19-ba9d-3a94a000e237"/>
    <s v="Leslie Booth"/>
    <d v="1930-09-02T00:00:00"/>
    <x v="0"/>
    <x v="5"/>
    <s v="Physical Therapy"/>
    <s v="Referred to physical therapy to maintain muscle strength."/>
    <d v="2022-06-03T00:00:00"/>
    <d v="2022-06-16T00:00:00"/>
    <n v="11665"/>
    <n v="13"/>
    <x v="4"/>
    <x v="0"/>
    <n v="91"/>
  </r>
  <r>
    <s v="e8a5ead4-7807-4e49-b5ee-4d095907a50a"/>
    <s v="Jacob Howard"/>
    <d v="1962-06-02T00:00:00"/>
    <x v="0"/>
    <x v="8"/>
    <s v="Oxygen Therapy"/>
    <s v="Started on broad-spectrum antibiotics."/>
    <d v="2023-10-16T00:00:00"/>
    <d v="2023-11-01T00:00:00"/>
    <n v="11629.59"/>
    <n v="16"/>
    <x v="8"/>
    <x v="1"/>
    <n v="61"/>
  </r>
  <r>
    <s v="1c133714-1ca4-4bf8-9008-4b911f2b009d"/>
    <s v="Lisa Erickson"/>
    <d v="1963-04-22T00:00:00"/>
    <x v="1"/>
    <x v="6"/>
    <s v="Medication"/>
    <s v="Referred to cognitive behavioral therapy to improve memory and thinking skills."/>
    <d v="2022-09-06T00:00:00"/>
    <d v="2022-09-09T00:00:00"/>
    <n v="11614.86"/>
    <n v="3"/>
    <x v="6"/>
    <x v="0"/>
    <n v="59"/>
  </r>
  <r>
    <s v="fc3faef7-c285-46b8-8a94-0d9a5e61d82b"/>
    <s v="Suzanne Taylor"/>
    <d v="1956-04-12T00:00:00"/>
    <x v="0"/>
    <x v="5"/>
    <s v="Medication"/>
    <s v="Referred to physical therapy to maintain muscle strength."/>
    <d v="2024-05-12T00:00:00"/>
    <d v="2024-05-29T00:00:00"/>
    <n v="11520.63"/>
    <n v="17"/>
    <x v="5"/>
    <x v="3"/>
    <n v="68"/>
  </r>
  <r>
    <s v="468ae5f1-83b6-4ef5-8fc2-8b46a514cf17"/>
    <s v="William Jones"/>
    <d v="1982-04-30T00:00:00"/>
    <x v="0"/>
    <x v="4"/>
    <s v="Physical Therapy"/>
    <s v="Speech therapy initiated to address language difficulties."/>
    <d v="2023-12-01T00:00:00"/>
    <d v="2023-12-20T00:00:00"/>
    <n v="11449.51"/>
    <n v="19"/>
    <x v="0"/>
    <x v="1"/>
    <n v="41"/>
  </r>
  <r>
    <s v="1358c045-661f-4c75-a4d3-b9f1e8b87f16"/>
    <s v="Jacob Smith"/>
    <d v="1994-05-19T00:00:00"/>
    <x v="0"/>
    <x v="5"/>
    <s v="Physical Therapy"/>
    <s v="Referred to physical therapy to maintain muscle strength."/>
    <d v="2023-10-20T00:00:00"/>
    <d v="2023-11-10T00:00:00"/>
    <n v="11445.28"/>
    <n v="21"/>
    <x v="8"/>
    <x v="1"/>
    <n v="29"/>
  </r>
  <r>
    <s v="ed22cf65-7928-4aab-aeda-236054470ddd"/>
    <s v="Jose Ward"/>
    <d v="1956-01-17T00:00:00"/>
    <x v="1"/>
    <x v="10"/>
    <s v="Medication"/>
    <s v="Antiepileptic medication prescribed; monitor for side effects."/>
    <d v="2022-03-12T00:00:00"/>
    <d v="2022-03-30T00:00:00"/>
    <n v="11363.32"/>
    <n v="18"/>
    <x v="10"/>
    <x v="0"/>
    <n v="66"/>
  </r>
  <r>
    <s v="e711f177-0fa0-4ded-a05a-f66ccf8c4edf"/>
    <s v="Bethany Martin"/>
    <d v="1934-03-12T00:00:00"/>
    <x v="0"/>
    <x v="10"/>
    <s v="Surgery"/>
    <s v="Discussed surgical options for refractory epilepsy."/>
    <d v="2022-01-10T00:00:00"/>
    <d v="2022-02-01T00:00:00"/>
    <n v="11314.16"/>
    <n v="22"/>
    <x v="1"/>
    <x v="0"/>
    <n v="87"/>
  </r>
  <r>
    <s v="90bd151e-48a4-4069-9ab4-87905e646bce"/>
    <s v="Aaron Lang"/>
    <d v="1996-05-03T00:00:00"/>
    <x v="1"/>
    <x v="3"/>
    <s v="Oxygen Therapy"/>
    <s v="Patient tested positive for COVID-19; started on antiviral drugs."/>
    <d v="2024-07-03T00:00:00"/>
    <d v="2024-07-16T00:00:00"/>
    <n v="11302.16"/>
    <n v="13"/>
    <x v="2"/>
    <x v="3"/>
    <n v="28"/>
  </r>
  <r>
    <s v="ebed9ca1-317d-43a2-a09e-db07578d3130"/>
    <s v="Rachel Massey"/>
    <d v="1936-05-28T00:00:00"/>
    <x v="0"/>
    <x v="5"/>
    <s v="Physical Therapy"/>
    <s v="Referred to physical therapy to maintain muscle strength."/>
    <d v="2022-01-19T00:00:00"/>
    <d v="2022-01-30T00:00:00"/>
    <n v="11245.09"/>
    <n v="11"/>
    <x v="1"/>
    <x v="0"/>
    <n v="85"/>
  </r>
  <r>
    <s v="d5f33ab1-8223-4315-9990-dcee9fa09728"/>
    <s v="Erin Daniels"/>
    <d v="2008-05-24T00:00:00"/>
    <x v="1"/>
    <x v="10"/>
    <s v="Surgery"/>
    <s v="Antiepileptic medication prescribed; monitor for side effects."/>
    <d v="2023-05-16T00:00:00"/>
    <d v="2023-06-10T00:00:00"/>
    <n v="11226.83"/>
    <n v="25"/>
    <x v="5"/>
    <x v="1"/>
    <n v="14"/>
  </r>
  <r>
    <s v="7d3cfbbc-d6ba-403a-bfe9-8dc7817bf59f"/>
    <s v="Andrew Fuller"/>
    <d v="1932-04-07T00:00:00"/>
    <x v="1"/>
    <x v="7"/>
    <s v="Oxygen Therapy"/>
    <s v="Prescribed long-term bronchodilators."/>
    <d v="2022-08-22T00:00:00"/>
    <d v="2022-09-16T00:00:00"/>
    <n v="11162.64"/>
    <n v="25"/>
    <x v="7"/>
    <x v="0"/>
    <n v="90"/>
  </r>
  <r>
    <s v="66fb6be5-6afb-423f-ad10-e7d4199a3f26"/>
    <s v="Mrs. Kayla Hale"/>
    <d v="2004-04-08T00:00:00"/>
    <x v="0"/>
    <x v="10"/>
    <s v="Medication"/>
    <s v="Antiepileptic medication prescribed; monitor for side effects."/>
    <d v="2022-03-07T00:00:00"/>
    <d v="2022-03-20T00:00:00"/>
    <n v="11150.26"/>
    <n v="13"/>
    <x v="10"/>
    <x v="0"/>
    <n v="17"/>
  </r>
  <r>
    <s v="b987977d-de56-46b8-893e-afe65757bb7b"/>
    <s v="Gloria Kemp"/>
    <d v="1951-08-05T00:00:00"/>
    <x v="0"/>
    <x v="2"/>
    <s v="Medication"/>
    <s v="Discussed surgical options for coronary artery disease."/>
    <d v="2023-06-17T00:00:00"/>
    <d v="2023-06-30T00:00:00"/>
    <n v="11134.49"/>
    <n v="13"/>
    <x v="4"/>
    <x v="1"/>
    <n v="71"/>
  </r>
  <r>
    <s v="ef4dd264-52cd-4acf-978e-e06d1d8aea3a"/>
    <s v="Laura Solis"/>
    <d v="1946-08-17T00:00:00"/>
    <x v="1"/>
    <x v="6"/>
    <s v="Cognitive Behavioral Therapy"/>
    <s v="Started on medication to slow progression of symptoms."/>
    <d v="2021-09-19T00:00:00"/>
    <d v="2021-10-02T00:00:00"/>
    <n v="11078.84"/>
    <n v="13"/>
    <x v="6"/>
    <x v="2"/>
    <n v="75"/>
  </r>
  <r>
    <s v="f80465f4-0b53-4283-bc81-8b269a7388a7"/>
    <s v="Jeremy Freeman"/>
    <d v="1928-08-02T00:00:00"/>
    <x v="1"/>
    <x v="7"/>
    <s v="Oxygen Therapy"/>
    <s v="Prescribed long-term bronchodilators."/>
    <d v="2024-01-26T00:00:00"/>
    <d v="2024-02-11T00:00:00"/>
    <n v="11058.58"/>
    <n v="16"/>
    <x v="1"/>
    <x v="3"/>
    <n v="95"/>
  </r>
  <r>
    <s v="9bc0b927-5f68-4449-b8ad-60fce0dfdf40"/>
    <s v="Christina Poole"/>
    <d v="2004-05-03T00:00:00"/>
    <x v="1"/>
    <x v="5"/>
    <s v="Physical Therapy"/>
    <s v="Discussed strategies to manage fatigue and other symptoms."/>
    <d v="2024-04-23T00:00:00"/>
    <d v="2024-05-09T00:00:00"/>
    <n v="11033.94"/>
    <n v="16"/>
    <x v="9"/>
    <x v="3"/>
    <n v="19"/>
  </r>
  <r>
    <s v="b668726e-a948-4645-96ab-aad620d3f0c1"/>
    <s v="Samantha Gonzalez"/>
    <d v="2003-07-03T00:00:00"/>
    <x v="0"/>
    <x v="6"/>
    <s v="Medication"/>
    <s v="Started on medication to slow progression of symptoms."/>
    <d v="2023-03-23T00:00:00"/>
    <d v="2023-04-11T00:00:00"/>
    <n v="10954.83"/>
    <n v="19"/>
    <x v="10"/>
    <x v="1"/>
    <n v="19"/>
  </r>
  <r>
    <s v="1d9e1215-b536-45d2-a00d-50898e2648bd"/>
    <s v="Tyler Edwards"/>
    <d v="1934-04-12T00:00:00"/>
    <x v="1"/>
    <x v="5"/>
    <s v="Medication"/>
    <s v="Referred to physical therapy to maintain muscle strength."/>
    <d v="2023-08-20T00:00:00"/>
    <d v="2023-09-15T00:00:00"/>
    <n v="10948.89"/>
    <n v="26"/>
    <x v="7"/>
    <x v="1"/>
    <n v="89"/>
  </r>
  <r>
    <s v="cccd1da0-2003-493e-b1f4-12c025c99f75"/>
    <s v="Cynthia Sanchez"/>
    <d v="1941-12-27T00:00:00"/>
    <x v="1"/>
    <x v="6"/>
    <s v="Medication"/>
    <s v="Referred to cognitive behavioral therapy to improve memory and thinking skills."/>
    <d v="2022-08-12T00:00:00"/>
    <d v="2022-09-03T00:00:00"/>
    <n v="10942.61"/>
    <n v="22"/>
    <x v="7"/>
    <x v="0"/>
    <n v="80"/>
  </r>
  <r>
    <s v="cda0f0c5-9027-4100-9f8e-1e1d685ba656"/>
    <s v="Scott Pena"/>
    <d v="1930-12-29T00:00:00"/>
    <x v="0"/>
    <x v="4"/>
    <s v="Speech Therapy"/>
    <s v="Referred to physical therapy for mobility improvement."/>
    <d v="2021-12-27T00:00:00"/>
    <d v="2022-01-11T00:00:00"/>
    <n v="10847.14"/>
    <n v="15"/>
    <x v="0"/>
    <x v="2"/>
    <n v="90"/>
  </r>
  <r>
    <s v="5d0122ba-ce5c-4e07-8bf0-da0c3f0a8c82"/>
    <s v="Kyle Kline"/>
    <d v="1962-11-02T00:00:00"/>
    <x v="1"/>
    <x v="8"/>
    <s v="Hospitalization"/>
    <s v="Monitor for any signs of respiratory distress."/>
    <d v="2023-09-05T00:00:00"/>
    <d v="2023-09-25T00:00:00"/>
    <n v="10573.24"/>
    <n v="20"/>
    <x v="6"/>
    <x v="1"/>
    <n v="60"/>
  </r>
  <r>
    <s v="df42390e-d43f-453e-91fa-e9123d04804c"/>
    <s v="Joel Harrington"/>
    <d v="2002-08-22T00:00:00"/>
    <x v="0"/>
    <x v="8"/>
    <s v="Oxygen Therapy"/>
    <s v="Hospitalized for closer monitoring and oxygen therapy."/>
    <d v="2022-05-30T00:00:00"/>
    <d v="2022-06-01T00:00:00"/>
    <n v="10525.4"/>
    <n v="2"/>
    <x v="5"/>
    <x v="0"/>
    <n v="19"/>
  </r>
  <r>
    <s v="4923e716-8800-4587-88fd-e62c56ccca23"/>
    <s v="Brian Williams"/>
    <d v="1929-08-27T00:00:00"/>
    <x v="1"/>
    <x v="5"/>
    <s v="Physical Therapy"/>
    <s v="Disease-modifying therapy initiated."/>
    <d v="2022-03-23T00:00:00"/>
    <d v="2022-04-07T00:00:00"/>
    <n v="10516.67"/>
    <n v="15"/>
    <x v="10"/>
    <x v="0"/>
    <n v="92"/>
  </r>
  <r>
    <s v="272cc1ec-7a8d-4d7a-8aba-a3e7f09e102e"/>
    <s v="Jennifer Chung"/>
    <d v="1967-11-01T00:00:00"/>
    <x v="0"/>
    <x v="10"/>
    <s v="Surgery"/>
    <s v="Antiepileptic medication prescribed; monitor for side effects."/>
    <d v="2024-01-22T00:00:00"/>
    <d v="2024-01-26T00:00:00"/>
    <n v="10431.379999999999"/>
    <n v="4"/>
    <x v="1"/>
    <x v="3"/>
    <n v="56"/>
  </r>
  <r>
    <s v="fad60d02-a56a-43bf-b346-fb0c5df2b57b"/>
    <s v="Karla Copeland"/>
    <d v="1970-09-02T00:00:00"/>
    <x v="1"/>
    <x v="8"/>
    <s v="Oxygen Therapy"/>
    <s v="Monitor for any signs of respiratory distress."/>
    <d v="2024-02-11T00:00:00"/>
    <d v="2024-03-07T00:00:00"/>
    <n v="10381.83"/>
    <n v="25"/>
    <x v="11"/>
    <x v="3"/>
    <n v="53"/>
  </r>
  <r>
    <s v="7699f1f1-a348-4366-8b59-ca7278876f33"/>
    <s v="Todd Mercado"/>
    <d v="1981-05-12T00:00:00"/>
    <x v="1"/>
    <x v="9"/>
    <s v="Physical Therapy"/>
    <s v="Referred to physical therapy to improve mobility and balance."/>
    <d v="2024-06-06T00:00:00"/>
    <d v="2024-06-10T00:00:00"/>
    <n v="10302.26"/>
    <n v="4"/>
    <x v="4"/>
    <x v="3"/>
    <n v="43"/>
  </r>
  <r>
    <s v="1a72ed36-cc93-4f6f-b858-c4fbcc7081fb"/>
    <s v="Melissa Jackson"/>
    <d v="1949-01-14T00:00:00"/>
    <x v="1"/>
    <x v="1"/>
    <s v="Dialysis"/>
    <s v="Prescribed medication to manage blood pressure and protect kidneys."/>
    <d v="2024-05-28T00:00:00"/>
    <d v="2024-06-18T00:00:00"/>
    <n v="10300.049999999999"/>
    <n v="21"/>
    <x v="5"/>
    <x v="3"/>
    <n v="75"/>
  </r>
  <r>
    <s v="3035b7b9-7870-4c58-ae78-b3d400af0b22"/>
    <s v="Christine Ashley"/>
    <d v="1955-12-27T00:00:00"/>
    <x v="1"/>
    <x v="1"/>
    <s v="Medication"/>
    <s v="Advised on dietary restrictions to support kidney function."/>
    <d v="2022-09-02T00:00:00"/>
    <d v="2022-09-11T00:00:00"/>
    <n v="10211.709999999999"/>
    <n v="9"/>
    <x v="6"/>
    <x v="0"/>
    <n v="66"/>
  </r>
  <r>
    <s v="e3d66e27-d046-4d1a-860d-f564a590c552"/>
    <s v="Carol Liu"/>
    <d v="1969-06-08T00:00:00"/>
    <x v="1"/>
    <x v="6"/>
    <s v="Cognitive Behavioral Therapy"/>
    <s v="Started on medication to slow progression of symptoms."/>
    <d v="2023-11-09T00:00:00"/>
    <d v="2023-12-03T00:00:00"/>
    <n v="10157.34"/>
    <n v="24"/>
    <x v="3"/>
    <x v="1"/>
    <n v="54"/>
  </r>
  <r>
    <s v="6f12ff37-716c-4bfe-877a-64d97fe3e31e"/>
    <s v="Tara Smith"/>
    <d v="1962-01-23T00:00:00"/>
    <x v="0"/>
    <x v="5"/>
    <s v="Physical Therapy"/>
    <s v="Discussed strategies to manage fatigue and other symptoms."/>
    <d v="2023-04-10T00:00:00"/>
    <d v="2023-05-03T00:00:00"/>
    <n v="10123.48"/>
    <n v="23"/>
    <x v="9"/>
    <x v="1"/>
    <n v="61"/>
  </r>
  <r>
    <s v="38f046f5-a8d2-405a-bf55-96e22661f5c8"/>
    <s v="Heather Vincent"/>
    <d v="1936-11-30T00:00:00"/>
    <x v="0"/>
    <x v="10"/>
    <s v="Surgery"/>
    <s v="Antiepileptic medication prescribed; monitor for side effects."/>
    <d v="2022-10-31T00:00:00"/>
    <d v="2022-11-21T00:00:00"/>
    <n v="10106.370000000001"/>
    <n v="21"/>
    <x v="8"/>
    <x v="0"/>
    <n v="85"/>
  </r>
  <r>
    <s v="6d78aaa8-8763-4a15-b142-082c51945e49"/>
    <s v="Jessica Smith"/>
    <d v="1983-03-26T00:00:00"/>
    <x v="1"/>
    <x v="5"/>
    <s v="Physical Therapy"/>
    <s v="Referred to physical therapy to maintain muscle strength."/>
    <d v="2021-10-16T00:00:00"/>
    <d v="2021-10-25T00:00:00"/>
    <n v="10027.870000000001"/>
    <n v="9"/>
    <x v="8"/>
    <x v="2"/>
    <n v="38"/>
  </r>
  <r>
    <s v="000c203f-0b78-4cab-9a55-75b34624fb3a"/>
    <s v="James Dyer"/>
    <d v="1957-03-20T00:00:00"/>
    <x v="1"/>
    <x v="9"/>
    <s v="Medication"/>
    <s v="Referred to physical therapy to improve mobility and balance."/>
    <d v="2023-03-11T00:00:00"/>
    <d v="2023-03-31T00:00:00"/>
    <n v="9994.4500000000007"/>
    <n v="20"/>
    <x v="10"/>
    <x v="1"/>
    <n v="65"/>
  </r>
  <r>
    <s v="1ad4ff53-14bd-43d9-9f06-551827a2f46d"/>
    <s v="Paul Juarez DDS"/>
    <d v="1996-04-26T00:00:00"/>
    <x v="1"/>
    <x v="11"/>
    <s v="Casting"/>
    <s v="Discussed surgical options for complex fracture."/>
    <d v="2022-09-14T00:00:00"/>
    <d v="2022-10-07T00:00:00"/>
    <n v="9924.17"/>
    <n v="23"/>
    <x v="6"/>
    <x v="0"/>
    <n v="26"/>
  </r>
  <r>
    <s v="c241b0aa-48a1-463f-99ba-a8be270afff8"/>
    <s v="Kristi Ramirez"/>
    <d v="1979-11-06T00:00:00"/>
    <x v="0"/>
    <x v="11"/>
    <s v="Casting"/>
    <s v="Discussed surgical options for complex fracture."/>
    <d v="2024-03-01T00:00:00"/>
    <d v="2024-03-02T00:00:00"/>
    <n v="9792.5300000000007"/>
    <n v="1"/>
    <x v="10"/>
    <x v="3"/>
    <n v="44"/>
  </r>
  <r>
    <s v="9b7afe33-9bb0-40e9-bef1-fc0e31d468da"/>
    <s v="Charles Weber"/>
    <d v="1981-10-21T00:00:00"/>
    <x v="0"/>
    <x v="6"/>
    <s v="Medication"/>
    <s v="Referred to cognitive behavioral therapy to improve memory and thinking skills."/>
    <d v="2024-03-13T00:00:00"/>
    <d v="2024-03-19T00:00:00"/>
    <n v="9777.85"/>
    <n v="6"/>
    <x v="10"/>
    <x v="3"/>
    <n v="42"/>
  </r>
  <r>
    <s v="0b421877-1add-4d3e-a967-ec4c849708e9"/>
    <s v="Maria Hickman"/>
    <d v="1946-08-03T00:00:00"/>
    <x v="0"/>
    <x v="11"/>
    <s v="Physical Therapy"/>
    <s v="Referred to physical therapy for rehabilitation."/>
    <d v="2024-07-01T00:00:00"/>
    <d v="2024-07-15T00:00:00"/>
    <n v="9715.33"/>
    <n v="14"/>
    <x v="2"/>
    <x v="3"/>
    <n v="77"/>
  </r>
  <r>
    <s v="bccea3ec-e992-44ea-8718-b13a91fb4f37"/>
    <s v="Ryan Riley"/>
    <d v="1983-10-11T00:00:00"/>
    <x v="1"/>
    <x v="8"/>
    <s v="Hospitalization"/>
    <s v="Hospitalized for closer monitoring and oxygen therapy."/>
    <d v="2022-07-05T00:00:00"/>
    <d v="2022-07-24T00:00:00"/>
    <n v="9695.25"/>
    <n v="19"/>
    <x v="2"/>
    <x v="0"/>
    <n v="38"/>
  </r>
  <r>
    <s v="6a3ad8be-9901-417a-8c62-067319e63b76"/>
    <s v="William Davis"/>
    <d v="2022-06-12T00:00:00"/>
    <x v="0"/>
    <x v="10"/>
    <s v="Surgery"/>
    <s v="Discussed surgical options for refractory epilepsy."/>
    <d v="2022-06-27T00:00:00"/>
    <d v="2022-06-28T00:00:00"/>
    <n v="9618.17"/>
    <n v="1"/>
    <x v="4"/>
    <x v="0"/>
    <n v="0"/>
  </r>
  <r>
    <s v="016b6bdc-8a5c-45bc-b03b-593b0d647dcd"/>
    <s v="David Williams"/>
    <d v="1930-09-27T00:00:00"/>
    <x v="1"/>
    <x v="12"/>
    <s v="Medication"/>
    <s v="Referred to physical therapy for joint strengthening exercises."/>
    <d v="2022-04-24T00:00:00"/>
    <d v="2022-04-25T00:00:00"/>
    <n v="9493.17"/>
    <n v="1"/>
    <x v="9"/>
    <x v="0"/>
    <n v="91"/>
  </r>
  <r>
    <s v="6f40b3e7-a03c-4ec7-a399-95075f64a22f"/>
    <s v="Brandy Peters"/>
    <d v="1993-12-26T00:00:00"/>
    <x v="1"/>
    <x v="12"/>
    <s v="Medication"/>
    <s v="Prescribed anti-inflammatory medication."/>
    <d v="2023-06-07T00:00:00"/>
    <d v="2023-06-26T00:00:00"/>
    <n v="9490.49"/>
    <n v="19"/>
    <x v="4"/>
    <x v="1"/>
    <n v="29"/>
  </r>
  <r>
    <s v="88af29ae-d7dc-4b8f-bf08-5e2853f538d3"/>
    <s v="Megan Davis"/>
    <d v="2020-08-20T00:00:00"/>
    <x v="0"/>
    <x v="6"/>
    <s v="Medication"/>
    <s v="Referred to cognitive behavioral therapy to improve memory and thinking skills."/>
    <d v="2024-07-04T00:00:00"/>
    <d v="2024-07-30T00:00:00"/>
    <n v="9377.07"/>
    <n v="26"/>
    <x v="2"/>
    <x v="3"/>
    <n v="3"/>
  </r>
  <r>
    <s v="3be59b28-69c7-43e7-955c-862149756ad7"/>
    <s v="Karen Schmidt"/>
    <d v="1929-09-06T00:00:00"/>
    <x v="1"/>
    <x v="13"/>
    <s v="Lifestyle Changes"/>
    <s v="Insulin therapy initiated; patient instructed on usage."/>
    <d v="2023-06-27T00:00:00"/>
    <d v="2023-07-16T00:00:00"/>
    <n v="9347.69"/>
    <n v="19"/>
    <x v="4"/>
    <x v="1"/>
    <n v="93"/>
  </r>
  <r>
    <s v="eeb1d067-15cf-4ab1-9daf-bda53479e303"/>
    <s v="Dawn Wilson"/>
    <d v="1968-04-12T00:00:00"/>
    <x v="1"/>
    <x v="11"/>
    <s v="Casting"/>
    <s v="Discussed surgical options for complex fracture."/>
    <d v="2023-12-30T00:00:00"/>
    <d v="2024-01-28T00:00:00"/>
    <n v="9319.48"/>
    <n v="29"/>
    <x v="0"/>
    <x v="1"/>
    <n v="55"/>
  </r>
  <r>
    <s v="9cca1e5f-b052-4240-a065-351389b68f19"/>
    <s v="Meghan Thompson"/>
    <d v="1996-05-16T00:00:00"/>
    <x v="0"/>
    <x v="5"/>
    <s v="Physical Therapy"/>
    <s v="Referred to physical therapy to maintain muscle strength."/>
    <d v="2024-06-19T00:00:00"/>
    <d v="2024-07-09T00:00:00"/>
    <n v="9214.65"/>
    <n v="20"/>
    <x v="4"/>
    <x v="3"/>
    <n v="28"/>
  </r>
  <r>
    <s v="f3648e1b-c262-4c3e-a45d-0ac6c7a81acb"/>
    <s v="Tonya Garza"/>
    <d v="1949-08-15T00:00:00"/>
    <x v="0"/>
    <x v="10"/>
    <s v="Medication"/>
    <s v="Advised to maintain a seizure diary."/>
    <d v="2021-09-08T00:00:00"/>
    <d v="2021-09-11T00:00:00"/>
    <n v="9175.58"/>
    <n v="3"/>
    <x v="6"/>
    <x v="2"/>
    <n v="72"/>
  </r>
  <r>
    <s v="4b53dbbf-85a8-4f04-b906-6c5630191794"/>
    <s v="Brandi Davis"/>
    <d v="2022-01-14T00:00:00"/>
    <x v="0"/>
    <x v="12"/>
    <s v="Physical Therapy"/>
    <s v="Referred to physical therapy for joint strengthening exercises."/>
    <d v="2023-06-01T00:00:00"/>
    <d v="2023-06-24T00:00:00"/>
    <n v="9168.7099999999991"/>
    <n v="23"/>
    <x v="4"/>
    <x v="1"/>
    <n v="1"/>
  </r>
  <r>
    <s v="4db18f9b-05a1-431f-8274-0de6811dbca1"/>
    <s v="Michael Gutierrez"/>
    <d v="1988-02-22T00:00:00"/>
    <x v="0"/>
    <x v="13"/>
    <s v="Lifestyle Changes"/>
    <s v="Insulin therapy initiated; patient instructed on usage."/>
    <d v="2023-06-02T00:00:00"/>
    <d v="2023-06-09T00:00:00"/>
    <n v="9154.36"/>
    <n v="7"/>
    <x v="4"/>
    <x v="1"/>
    <n v="35"/>
  </r>
  <r>
    <s v="ee9d9919-78c3-431b-ab8e-28dec3292c7e"/>
    <s v="Dr. William Greene Jr."/>
    <d v="2003-03-06T00:00:00"/>
    <x v="1"/>
    <x v="10"/>
    <s v="Surgery"/>
    <s v="Antiepileptic medication prescribed; monitor for side effects."/>
    <d v="2021-11-05T00:00:00"/>
    <d v="2021-11-10T00:00:00"/>
    <n v="9149.93"/>
    <n v="5"/>
    <x v="3"/>
    <x v="2"/>
    <n v="18"/>
  </r>
  <r>
    <s v="40524e2c-6430-463c-8faf-d369b3fddd9e"/>
    <s v="Tiffany Williams"/>
    <d v="1949-06-02T00:00:00"/>
    <x v="0"/>
    <x v="11"/>
    <s v="Physical Therapy"/>
    <s v="Fracture immobilized with casting."/>
    <d v="2023-04-27T00:00:00"/>
    <d v="2023-05-12T00:00:00"/>
    <n v="9115.1200000000008"/>
    <n v="15"/>
    <x v="9"/>
    <x v="1"/>
    <n v="73"/>
  </r>
  <r>
    <s v="24d9adf5-b2d6-4f49-b84b-1b2402d943a3"/>
    <s v="Joshua Banks"/>
    <d v="1937-07-27T00:00:00"/>
    <x v="0"/>
    <x v="8"/>
    <s v="Oxygen Therapy"/>
    <s v="Started on broad-spectrum antibiotics."/>
    <d v="2022-12-15T00:00:00"/>
    <d v="2022-12-21T00:00:00"/>
    <n v="9096.74"/>
    <n v="6"/>
    <x v="0"/>
    <x v="0"/>
    <n v="85"/>
  </r>
  <r>
    <s v="038a90a9-5472-4d58-8985-ac5bcb662e1d"/>
    <s v="Michael Ochoa"/>
    <d v="2014-08-26T00:00:00"/>
    <x v="0"/>
    <x v="13"/>
    <s v="Medication"/>
    <s v="Discussed dietary changes to manage blood sugar levels."/>
    <d v="2023-03-14T00:00:00"/>
    <d v="2023-04-04T00:00:00"/>
    <n v="9015.81"/>
    <n v="21"/>
    <x v="10"/>
    <x v="1"/>
    <n v="8"/>
  </r>
  <r>
    <s v="f780ffbc-af4f-4e3a-8afa-67753f6f6990"/>
    <s v="Robert Shields"/>
    <d v="1990-03-24T00:00:00"/>
    <x v="1"/>
    <x v="10"/>
    <s v="Surgery"/>
    <s v="Discussed surgical options for refractory epilepsy."/>
    <d v="2024-01-08T00:00:00"/>
    <d v="2024-02-05T00:00:00"/>
    <n v="8946.19"/>
    <n v="28"/>
    <x v="1"/>
    <x v="3"/>
    <n v="33"/>
  </r>
  <r>
    <s v="4e092a76-0b68-4b6a-b80d-320ea327a818"/>
    <s v="Denise Friedman"/>
    <d v="1926-02-03T00:00:00"/>
    <x v="0"/>
    <x v="5"/>
    <s v="Medication"/>
    <s v="Disease-modifying therapy initiated."/>
    <d v="2022-07-02T00:00:00"/>
    <d v="2022-07-30T00:00:00"/>
    <n v="8877.17"/>
    <n v="28"/>
    <x v="2"/>
    <x v="0"/>
    <n v="96"/>
  </r>
  <r>
    <s v="48f08358-9a20-4077-9430-bd32b34e7a6d"/>
    <s v="Anita Harvey"/>
    <d v="2002-01-09T00:00:00"/>
    <x v="1"/>
    <x v="8"/>
    <s v="Antibiotics"/>
    <s v="Started on broad-spectrum antibiotics."/>
    <d v="2024-01-02T00:00:00"/>
    <d v="2024-01-06T00:00:00"/>
    <n v="8873.02"/>
    <n v="4"/>
    <x v="1"/>
    <x v="3"/>
    <n v="21"/>
  </r>
  <r>
    <s v="951a45ad-865e-40e1-95a8-ca772715fb73"/>
    <s v="Mackenzie Holt"/>
    <d v="1936-07-24T00:00:00"/>
    <x v="0"/>
    <x v="9"/>
    <s v="Physical Therapy"/>
    <s v="Referred to physical therapy to improve mobility and balance."/>
    <d v="2023-01-23T00:00:00"/>
    <d v="2023-02-05T00:00:00"/>
    <n v="8849.35"/>
    <n v="13"/>
    <x v="1"/>
    <x v="1"/>
    <n v="86"/>
  </r>
  <r>
    <s v="8fe553d6-845f-4f08-b8e1-ed2d4f9c1b3b"/>
    <s v="Jennifer Elliott"/>
    <d v="2020-09-17T00:00:00"/>
    <x v="0"/>
    <x v="12"/>
    <s v="Physical Therapy"/>
    <s v="Referred to physical therapy for joint strengthening exercises."/>
    <d v="2022-08-29T00:00:00"/>
    <d v="2022-09-06T00:00:00"/>
    <n v="8803.19"/>
    <n v="8"/>
    <x v="7"/>
    <x v="0"/>
    <n v="1"/>
  </r>
  <r>
    <s v="97ff8199-325d-46d5-bf82-88f63b32a4c0"/>
    <s v="George Hoffman"/>
    <d v="1999-03-05T00:00:00"/>
    <x v="1"/>
    <x v="10"/>
    <s v="Medication"/>
    <s v="Advised to maintain a seizure diary."/>
    <d v="2023-01-22T00:00:00"/>
    <d v="2023-02-08T00:00:00"/>
    <n v="8774.7000000000007"/>
    <n v="17"/>
    <x v="1"/>
    <x v="1"/>
    <n v="23"/>
  </r>
  <r>
    <s v="ff7a4e29-7661-4c03-8514-c80d8d624ae7"/>
    <s v="Elizabeth Kim"/>
    <d v="2001-01-05T00:00:00"/>
    <x v="1"/>
    <x v="5"/>
    <s v="Medication"/>
    <s v="Discussed strategies to manage fatigue and other symptoms."/>
    <d v="2024-04-03T00:00:00"/>
    <d v="2024-04-14T00:00:00"/>
    <n v="8742.0400000000009"/>
    <n v="11"/>
    <x v="9"/>
    <x v="3"/>
    <n v="23"/>
  </r>
  <r>
    <s v="de15d75c-c1d2-4c61-af29-7cc15269e1fa"/>
    <s v="Kevin Flores"/>
    <d v="1965-09-13T00:00:00"/>
    <x v="0"/>
    <x v="12"/>
    <s v="Physical Therapy"/>
    <s v="Advised on lifestyle modifications to reduce joint pain."/>
    <d v="2024-04-21T00:00:00"/>
    <d v="2024-05-05T00:00:00"/>
    <n v="8686.44"/>
    <n v="14"/>
    <x v="9"/>
    <x v="3"/>
    <n v="58"/>
  </r>
  <r>
    <s v="1572ddfe-5431-4123-9ef5-deeac4c0e0fb"/>
    <s v="Charles Gonzalez"/>
    <d v="1995-06-26T00:00:00"/>
    <x v="1"/>
    <x v="11"/>
    <s v="Casting"/>
    <s v="Fracture immobilized with casting."/>
    <d v="2024-07-02T00:00:00"/>
    <d v="2024-07-22T00:00:00"/>
    <n v="8588.94"/>
    <n v="20"/>
    <x v="2"/>
    <x v="3"/>
    <n v="29"/>
  </r>
  <r>
    <s v="d1385858-6e62-444c-8a08-5cf985337a4f"/>
    <s v="Lisa Perez"/>
    <d v="1969-02-28T00:00:00"/>
    <x v="1"/>
    <x v="10"/>
    <s v="Surgery"/>
    <s v="Advised to maintain a seizure diary."/>
    <d v="2023-03-30T00:00:00"/>
    <d v="2023-04-08T00:00:00"/>
    <n v="8549.52"/>
    <n v="9"/>
    <x v="10"/>
    <x v="1"/>
    <n v="54"/>
  </r>
  <r>
    <s v="916807ad-cf61-4482-8727-6b5bce7804d1"/>
    <s v="Christine Gutierrez"/>
    <d v="1944-09-21T00:00:00"/>
    <x v="0"/>
    <x v="5"/>
    <s v="Physical Therapy"/>
    <s v="Referred to physical therapy to maintain muscle strength."/>
    <d v="2023-03-26T00:00:00"/>
    <d v="2023-04-11T00:00:00"/>
    <n v="8454.4"/>
    <n v="16"/>
    <x v="10"/>
    <x v="1"/>
    <n v="78"/>
  </r>
  <r>
    <s v="6a572387-3c92-4eb6-b1b8-f5eb4ac6806b"/>
    <s v="Carol Silva"/>
    <d v="2020-01-30T00:00:00"/>
    <x v="0"/>
    <x v="11"/>
    <s v="Physical Therapy"/>
    <s v="Discussed surgical options for complex fracture."/>
    <d v="2021-12-14T00:00:00"/>
    <d v="2021-12-23T00:00:00"/>
    <n v="8441.2099999999991"/>
    <n v="9"/>
    <x v="0"/>
    <x v="2"/>
    <n v="1"/>
  </r>
  <r>
    <s v="f751594a-866b-4c07-8265-42fdb5071dcf"/>
    <s v="Andrew Gonzalez"/>
    <d v="2012-04-08T00:00:00"/>
    <x v="1"/>
    <x v="6"/>
    <s v="Cognitive Behavioral Therapy"/>
    <s v="Discussed with family about disease progression and care options."/>
    <d v="2022-06-23T00:00:00"/>
    <d v="2022-07-11T00:00:00"/>
    <n v="8387.91"/>
    <n v="18"/>
    <x v="4"/>
    <x v="0"/>
    <n v="10"/>
  </r>
  <r>
    <s v="fe0186f8-3a90-4150-a680-3e68e255e746"/>
    <s v="Sandra Johnson"/>
    <d v="2011-01-19T00:00:00"/>
    <x v="0"/>
    <x v="9"/>
    <s v="Medication"/>
    <s v="Discussed potential for deep brain stimulation surgery."/>
    <d v="2023-09-01T00:00:00"/>
    <d v="2023-09-06T00:00:00"/>
    <n v="8364.84"/>
    <n v="5"/>
    <x v="6"/>
    <x v="1"/>
    <n v="12"/>
  </r>
  <r>
    <s v="487e66fb-85cd-4401-8e83-7a2f22a98507"/>
    <s v="Joseph Nelson"/>
    <d v="1958-07-08T00:00:00"/>
    <x v="0"/>
    <x v="4"/>
    <s v="Speech Therapy"/>
    <s v="Speech therapy initiated to address language difficulties."/>
    <d v="2023-03-26T00:00:00"/>
    <d v="2023-04-20T00:00:00"/>
    <n v="8344.02"/>
    <n v="25"/>
    <x v="10"/>
    <x v="1"/>
    <n v="64"/>
  </r>
  <r>
    <s v="f26ec283-1197-4012-83b7-7d8136601c6f"/>
    <s v="Daniel Berger"/>
    <d v="2002-09-21T00:00:00"/>
    <x v="0"/>
    <x v="9"/>
    <s v="Physical Therapy"/>
    <s v="Discussed potential for deep brain stimulation surgery."/>
    <d v="2022-04-03T00:00:00"/>
    <d v="2022-05-03T00:00:00"/>
    <n v="8333.65"/>
    <n v="30"/>
    <x v="9"/>
    <x v="0"/>
    <n v="19"/>
  </r>
  <r>
    <s v="5d78142a-05c0-4dcf-8953-f4ae29fd9b4b"/>
    <s v="Benjamin Collins"/>
    <d v="1941-11-26T00:00:00"/>
    <x v="1"/>
    <x v="6"/>
    <s v="Medication"/>
    <s v="Started on medication to slow progression of symptoms."/>
    <d v="2024-04-22T00:00:00"/>
    <d v="2024-04-28T00:00:00"/>
    <n v="8311.6200000000008"/>
    <n v="6"/>
    <x v="9"/>
    <x v="3"/>
    <n v="82"/>
  </r>
  <r>
    <s v="3220aaaa-5921-4f7c-ba71-be218d6bef59"/>
    <s v="Stephen Soto"/>
    <d v="1957-03-05T00:00:00"/>
    <x v="1"/>
    <x v="8"/>
    <s v="Antibiotics"/>
    <s v="Started on broad-spectrum antibiotics."/>
    <d v="2023-01-10T00:00:00"/>
    <d v="2023-01-21T00:00:00"/>
    <n v="8194.67"/>
    <n v="11"/>
    <x v="1"/>
    <x v="1"/>
    <n v="65"/>
  </r>
  <r>
    <s v="6376060d-c844-47b8-9c4c-64bff7cb1ea1"/>
    <s v="Andrew Smith"/>
    <d v="1947-11-21T00:00:00"/>
    <x v="0"/>
    <x v="11"/>
    <s v="Casting"/>
    <s v="Discussed surgical options for complex fracture."/>
    <d v="2024-04-16T00:00:00"/>
    <d v="2024-04-29T00:00:00"/>
    <n v="8168.12"/>
    <n v="13"/>
    <x v="9"/>
    <x v="3"/>
    <n v="76"/>
  </r>
  <r>
    <s v="0a7a6e98-74d4-4723-85a0-b004ffed0417"/>
    <s v="Joseph Shelton"/>
    <d v="1956-01-19T00:00:00"/>
    <x v="1"/>
    <x v="13"/>
    <s v="Insulin Therapy"/>
    <s v="Insulin therapy initiated; patient instructed on usage."/>
    <d v="2022-04-22T00:00:00"/>
    <d v="2022-05-06T00:00:00"/>
    <n v="8137.96"/>
    <n v="14"/>
    <x v="9"/>
    <x v="0"/>
    <n v="66"/>
  </r>
  <r>
    <s v="8c6b429f-683d-4e5d-b098-7f552499c48c"/>
    <s v="John Chapman"/>
    <d v="1978-02-26T00:00:00"/>
    <x v="0"/>
    <x v="12"/>
    <s v="Medication"/>
    <s v="Prescribed anti-inflammatory medication."/>
    <d v="2022-06-27T00:00:00"/>
    <d v="2022-07-18T00:00:00"/>
    <n v="8119.79"/>
    <n v="21"/>
    <x v="4"/>
    <x v="0"/>
    <n v="44"/>
  </r>
  <r>
    <s v="6b470e6b-96b9-44d6-b210-e11f7835a828"/>
    <s v="Craig Neal"/>
    <d v="1933-10-05T00:00:00"/>
    <x v="0"/>
    <x v="11"/>
    <s v="Surgery"/>
    <s v="Fracture immobilized with casting."/>
    <d v="2024-03-03T00:00:00"/>
    <d v="2024-03-23T00:00:00"/>
    <n v="8082.6"/>
    <n v="20"/>
    <x v="10"/>
    <x v="3"/>
    <n v="90"/>
  </r>
  <r>
    <s v="4edd2267-856a-470a-900a-fb58cf374e98"/>
    <s v="Russell Anderson"/>
    <d v="2018-06-29T00:00:00"/>
    <x v="1"/>
    <x v="6"/>
    <s v="Medication"/>
    <s v="Discussed with family about disease progression and care options."/>
    <d v="2021-09-29T00:00:00"/>
    <d v="2021-10-07T00:00:00"/>
    <n v="8059.6"/>
    <n v="8"/>
    <x v="6"/>
    <x v="2"/>
    <n v="3"/>
  </r>
  <r>
    <s v="796acce5-7f02-4623-8845-c8dd71477206"/>
    <s v="Diane Shelton"/>
    <d v="1928-10-18T00:00:00"/>
    <x v="1"/>
    <x v="7"/>
    <s v="Oxygen Therapy"/>
    <s v="Referred to pulmonary rehabilitation program."/>
    <d v="2024-05-31T00:00:00"/>
    <d v="2024-06-30T00:00:00"/>
    <n v="7997.64"/>
    <n v="30"/>
    <x v="5"/>
    <x v="3"/>
    <n v="95"/>
  </r>
  <r>
    <s v="ecfde653-89a5-43f1-90fd-7395f80db1b3"/>
    <s v="Deborah Jones"/>
    <d v="1973-02-04T00:00:00"/>
    <x v="0"/>
    <x v="6"/>
    <s v="Medication"/>
    <s v="Started on medication to slow progression of symptoms."/>
    <d v="2022-05-18T00:00:00"/>
    <d v="2022-06-01T00:00:00"/>
    <n v="7984.33"/>
    <n v="14"/>
    <x v="5"/>
    <x v="0"/>
    <n v="49"/>
  </r>
  <r>
    <s v="f4f8bd60-6b83-4958-a0c0-7694f3b9f035"/>
    <s v="Lori Black"/>
    <d v="1984-07-06T00:00:00"/>
    <x v="0"/>
    <x v="10"/>
    <s v="Medication"/>
    <s v="Antiepileptic medication prescribed; monitor for side effects."/>
    <d v="2022-10-24T00:00:00"/>
    <d v="2022-11-23T00:00:00"/>
    <n v="7955.88"/>
    <n v="30"/>
    <x v="8"/>
    <x v="0"/>
    <n v="38"/>
  </r>
  <r>
    <s v="3830bc25-48ba-4fed-afb4-43e77159ff09"/>
    <s v="Lee Schultz"/>
    <d v="1941-12-06T00:00:00"/>
    <x v="0"/>
    <x v="7"/>
    <s v="Oxygen Therapy"/>
    <s v="Patient requires home oxygen therapy."/>
    <d v="2024-03-06T00:00:00"/>
    <d v="2024-03-29T00:00:00"/>
    <n v="7935.32"/>
    <n v="23"/>
    <x v="10"/>
    <x v="3"/>
    <n v="82"/>
  </r>
  <r>
    <s v="10ad44e8-d709-444f-81dc-487af1eec5bb"/>
    <s v="Lisa Moreno"/>
    <d v="1960-08-18T00:00:00"/>
    <x v="0"/>
    <x v="10"/>
    <s v="Medication"/>
    <s v="Antiepileptic medication prescribed; monitor for side effects."/>
    <d v="2024-01-18T00:00:00"/>
    <d v="2024-02-04T00:00:00"/>
    <n v="7915.1"/>
    <n v="17"/>
    <x v="1"/>
    <x v="3"/>
    <n v="63"/>
  </r>
  <r>
    <s v="f799c1c5-fffb-45ab-8485-a74991f1c4ec"/>
    <s v="Michelle Davenport"/>
    <d v="1927-06-03T00:00:00"/>
    <x v="1"/>
    <x v="12"/>
    <s v="Medication"/>
    <s v="Referred to physical therapy for joint strengthening exercises."/>
    <d v="2023-02-20T00:00:00"/>
    <d v="2023-03-08T00:00:00"/>
    <n v="7908.29"/>
    <n v="16"/>
    <x v="11"/>
    <x v="1"/>
    <n v="95"/>
  </r>
  <r>
    <s v="88eb7253-9fb7-42cb-9548-915e0aa9a516"/>
    <s v="Xavier Lara"/>
    <d v="1990-10-30T00:00:00"/>
    <x v="1"/>
    <x v="11"/>
    <s v="Physical Therapy"/>
    <s v="Discussed surgical options for complex fracture."/>
    <d v="2023-02-10T00:00:00"/>
    <d v="2023-03-12T00:00:00"/>
    <n v="7887.11"/>
    <n v="30"/>
    <x v="11"/>
    <x v="1"/>
    <n v="32"/>
  </r>
  <r>
    <s v="5e583a12-cad0-41cc-b770-f4ee6e304725"/>
    <s v="Yvette Cohen"/>
    <d v="1979-11-27T00:00:00"/>
    <x v="1"/>
    <x v="12"/>
    <s v="Medication"/>
    <s v="Referred to physical therapy for joint strengthening exercises."/>
    <d v="2023-06-15T00:00:00"/>
    <d v="2023-06-30T00:00:00"/>
    <n v="7795.71"/>
    <n v="15"/>
    <x v="4"/>
    <x v="1"/>
    <n v="43"/>
  </r>
  <r>
    <s v="d57d5de6-d9a0-4b43-b0e4-475c6524f9ba"/>
    <s v="Kelly Conner"/>
    <d v="1971-12-06T00:00:00"/>
    <x v="0"/>
    <x v="13"/>
    <s v="Insulin Therapy"/>
    <s v="Insulin therapy initiated; patient instructed on usage."/>
    <d v="2023-10-07T00:00:00"/>
    <d v="2023-11-02T00:00:00"/>
    <n v="7755.66"/>
    <n v="26"/>
    <x v="8"/>
    <x v="1"/>
    <n v="51"/>
  </r>
  <r>
    <s v="ed4c4b82-0e82-49f2-8940-73f270c641c9"/>
    <s v="Michael Mcdonald"/>
    <d v="2005-06-28T00:00:00"/>
    <x v="1"/>
    <x v="7"/>
    <s v="Oxygen Therapy"/>
    <s v="Referred to pulmonary rehabilitation program."/>
    <d v="2021-09-01T00:00:00"/>
    <d v="2021-10-01T00:00:00"/>
    <n v="7748.74"/>
    <n v="30"/>
    <x v="6"/>
    <x v="2"/>
    <n v="16"/>
  </r>
  <r>
    <s v="d577bcca-e848-4582-9b2f-d4907dd5e466"/>
    <s v="Rhonda Peters"/>
    <d v="1931-04-03T00:00:00"/>
    <x v="0"/>
    <x v="8"/>
    <s v="Hospitalization"/>
    <s v="Started on broad-spectrum antibiotics."/>
    <d v="2023-11-17T00:00:00"/>
    <d v="2023-12-03T00:00:00"/>
    <n v="7708.36"/>
    <n v="16"/>
    <x v="3"/>
    <x v="1"/>
    <n v="92"/>
  </r>
  <r>
    <s v="86d559d4-d455-4ec9-b3f5-f7f1bfbbd3c0"/>
    <s v="Victoria Reid"/>
    <d v="1958-06-22T00:00:00"/>
    <x v="1"/>
    <x v="5"/>
    <s v="Medication"/>
    <s v="Referred to physical therapy to maintain muscle strength."/>
    <d v="2022-01-11T00:00:00"/>
    <d v="2022-01-17T00:00:00"/>
    <n v="7656.3"/>
    <n v="6"/>
    <x v="1"/>
    <x v="0"/>
    <n v="63"/>
  </r>
  <r>
    <s v="49d43811-6151-408c-912f-4819b4c175fc"/>
    <s v="Rebecca Johnson"/>
    <d v="2000-10-04T00:00:00"/>
    <x v="0"/>
    <x v="13"/>
    <s v="Lifestyle Changes"/>
    <s v="Insulin therapy initiated; patient instructed on usage."/>
    <d v="2022-09-28T00:00:00"/>
    <d v="2022-10-23T00:00:00"/>
    <n v="7640.06"/>
    <n v="25"/>
    <x v="6"/>
    <x v="0"/>
    <n v="21"/>
  </r>
  <r>
    <s v="0d355a77-5656-4222-a2c3-a8f41ced977f"/>
    <s v="Richard Hawkins"/>
    <d v="2005-12-11T00:00:00"/>
    <x v="1"/>
    <x v="10"/>
    <s v="Surgery"/>
    <s v="Antiepileptic medication prescribed; monitor for side effects."/>
    <d v="2024-04-30T00:00:00"/>
    <d v="2024-05-14T00:00:00"/>
    <n v="7630.11"/>
    <n v="14"/>
    <x v="9"/>
    <x v="3"/>
    <n v="18"/>
  </r>
  <r>
    <s v="13c8a214-940f-40ff-9fa2-cf1285644752"/>
    <s v="Amanda Faulkner"/>
    <d v="1928-06-21T00:00:00"/>
    <x v="1"/>
    <x v="5"/>
    <s v="Medication"/>
    <s v="Referred to physical therapy to maintain muscle strength."/>
    <d v="2022-11-04T00:00:00"/>
    <d v="2022-11-23T00:00:00"/>
    <n v="7615.89"/>
    <n v="19"/>
    <x v="3"/>
    <x v="0"/>
    <n v="94"/>
  </r>
  <r>
    <s v="369a12d6-6254-4768-aa66-784c4b03512b"/>
    <s v="David Farmer"/>
    <d v="2007-08-24T00:00:00"/>
    <x v="0"/>
    <x v="6"/>
    <s v="Cognitive Behavioral Therapy"/>
    <s v="Referred to cognitive behavioral therapy to improve memory and thinking skills."/>
    <d v="2022-06-02T00:00:00"/>
    <d v="2022-06-27T00:00:00"/>
    <n v="7599.84"/>
    <n v="25"/>
    <x v="4"/>
    <x v="0"/>
    <n v="14"/>
  </r>
  <r>
    <s v="88961dc8-615d-494b-9c3a-19f3cf95ba04"/>
    <s v="Katelyn Conway"/>
    <d v="1988-04-07T00:00:00"/>
    <x v="1"/>
    <x v="13"/>
    <s v="Insulin Therapy"/>
    <s v="Insulin therapy initiated; patient instructed on usage."/>
    <d v="2023-04-09T00:00:00"/>
    <d v="2023-04-13T00:00:00"/>
    <n v="7552.48"/>
    <n v="4"/>
    <x v="9"/>
    <x v="1"/>
    <n v="35"/>
  </r>
  <r>
    <s v="05eb8418-c80d-4578-b7ff-6c2326355772"/>
    <s v="Noah Cunningham"/>
    <d v="2013-07-22T00:00:00"/>
    <x v="0"/>
    <x v="9"/>
    <s v="Physical Therapy"/>
    <s v="Referred to physical therapy to improve mobility and balance."/>
    <d v="2023-12-01T00:00:00"/>
    <d v="2023-12-05T00:00:00"/>
    <n v="7549.56"/>
    <n v="4"/>
    <x v="0"/>
    <x v="1"/>
    <n v="10"/>
  </r>
  <r>
    <s v="49e35484-73a1-449e-bfd5-a3a212f5a390"/>
    <s v="Christopher Morton"/>
    <d v="2002-12-19T00:00:00"/>
    <x v="1"/>
    <x v="11"/>
    <s v="Casting"/>
    <s v="Discussed surgical options for complex fracture."/>
    <d v="2022-03-01T00:00:00"/>
    <d v="2022-03-23T00:00:00"/>
    <n v="7541.72"/>
    <n v="22"/>
    <x v="10"/>
    <x v="0"/>
    <n v="19"/>
  </r>
  <r>
    <s v="6bf9dbeb-33d9-4ef6-84f2-501d443de4ce"/>
    <s v="Jose Taylor"/>
    <d v="1953-10-15T00:00:00"/>
    <x v="1"/>
    <x v="13"/>
    <s v="Insulin Therapy"/>
    <s v="Patient advised to monitor blood sugar levels regularly."/>
    <d v="2023-10-06T00:00:00"/>
    <d v="2023-11-04T00:00:00"/>
    <n v="7528.74"/>
    <n v="29"/>
    <x v="8"/>
    <x v="1"/>
    <n v="69"/>
  </r>
  <r>
    <s v="e4a42fc8-3508-46b1-b096-fc43a085b0c2"/>
    <s v="Jennifer Thomas"/>
    <d v="1997-10-17T00:00:00"/>
    <x v="0"/>
    <x v="8"/>
    <s v="Antibiotics"/>
    <s v="Hospitalized for closer monitoring and oxygen therapy."/>
    <d v="2022-04-21T00:00:00"/>
    <d v="2022-05-02T00:00:00"/>
    <n v="7525.45"/>
    <n v="11"/>
    <x v="9"/>
    <x v="0"/>
    <n v="24"/>
  </r>
  <r>
    <s v="502ad88d-7700-4a6c-94a1-b784a65d1483"/>
    <s v="Stephanie Nelson"/>
    <d v="1974-01-31T00:00:00"/>
    <x v="0"/>
    <x v="12"/>
    <s v="Medication"/>
    <s v="Advised on lifestyle modifications to reduce joint pain."/>
    <d v="2022-05-05T00:00:00"/>
    <d v="2022-05-20T00:00:00"/>
    <n v="7411.97"/>
    <n v="15"/>
    <x v="5"/>
    <x v="0"/>
    <n v="48"/>
  </r>
  <r>
    <s v="84f49173-37b2-473f-9486-2115203bcbf2"/>
    <s v="Deanna Gordon"/>
    <d v="1998-10-13T00:00:00"/>
    <x v="0"/>
    <x v="9"/>
    <s v="Physical Therapy"/>
    <s v="Referred to physical therapy to improve mobility and balance."/>
    <d v="2021-08-01T00:00:00"/>
    <d v="2021-08-05T00:00:00"/>
    <n v="7391.17"/>
    <n v="4"/>
    <x v="7"/>
    <x v="2"/>
    <n v="22"/>
  </r>
  <r>
    <s v="6f2e772b-30e7-40df-bed6-8aa61cd30bd3"/>
    <s v="Michael Gonzalez"/>
    <d v="1955-07-18T00:00:00"/>
    <x v="0"/>
    <x v="10"/>
    <s v="Surgery"/>
    <s v="Discussed surgical options for refractory epilepsy."/>
    <d v="2022-10-05T00:00:00"/>
    <d v="2022-10-30T00:00:00"/>
    <n v="7367.51"/>
    <n v="25"/>
    <x v="8"/>
    <x v="0"/>
    <n v="67"/>
  </r>
  <r>
    <s v="9a7cd9b4-e39a-487b-b511-55d43714c914"/>
    <s v="Sharon Lewis"/>
    <d v="1998-07-06T00:00:00"/>
    <x v="0"/>
    <x v="12"/>
    <s v="Medication"/>
    <s v="Referred to physical therapy for joint strengthening exercises."/>
    <d v="2022-12-10T00:00:00"/>
    <d v="2022-12-12T00:00:00"/>
    <n v="7358.8"/>
    <n v="2"/>
    <x v="0"/>
    <x v="0"/>
    <n v="24"/>
  </r>
  <r>
    <s v="3045d288-63a1-4fb5-b981-1a894198b9c1"/>
    <s v="Rachel Serrano"/>
    <d v="1943-05-18T00:00:00"/>
    <x v="1"/>
    <x v="11"/>
    <s v="Physical Therapy"/>
    <s v="Fracture immobilized with casting."/>
    <d v="2024-06-30T00:00:00"/>
    <d v="2024-07-21T00:00:00"/>
    <n v="7315.9"/>
    <n v="21"/>
    <x v="4"/>
    <x v="3"/>
    <n v="81"/>
  </r>
  <r>
    <s v="9da14116-1b55-4636-976b-33c1c953719b"/>
    <s v="Laura Lopez"/>
    <d v="1934-10-13T00:00:00"/>
    <x v="1"/>
    <x v="13"/>
    <s v="Lifestyle Changes"/>
    <s v="Discussed dietary changes to manage blood sugar levels."/>
    <d v="2023-06-12T00:00:00"/>
    <d v="2023-06-30T00:00:00"/>
    <n v="7269.35"/>
    <n v="18"/>
    <x v="4"/>
    <x v="1"/>
    <n v="88"/>
  </r>
  <r>
    <s v="cb52f8ef-35c8-4fc5-9f1f-dbda3dd53cdf"/>
    <s v="Brianna Wallace"/>
    <d v="1969-05-12T00:00:00"/>
    <x v="1"/>
    <x v="12"/>
    <s v="Physical Therapy"/>
    <s v="Prescribed anti-inflammatory medication."/>
    <d v="2022-07-16T00:00:00"/>
    <d v="2022-07-19T00:00:00"/>
    <n v="7216.95"/>
    <n v="3"/>
    <x v="2"/>
    <x v="0"/>
    <n v="53"/>
  </r>
  <r>
    <s v="30c25fbe-e943-4c22-a72f-7f7e9c2103ef"/>
    <s v="Amber Moody"/>
    <d v="1984-06-19T00:00:00"/>
    <x v="1"/>
    <x v="11"/>
    <s v="Physical Therapy"/>
    <s v="Fracture immobilized with casting."/>
    <d v="2023-02-03T00:00:00"/>
    <d v="2023-02-23T00:00:00"/>
    <n v="7205.8"/>
    <n v="20"/>
    <x v="11"/>
    <x v="1"/>
    <n v="38"/>
  </r>
  <r>
    <s v="600a33e0-956a-4d0a-8639-a732cab36d9a"/>
    <s v="Randall Davis"/>
    <d v="1989-03-20T00:00:00"/>
    <x v="1"/>
    <x v="9"/>
    <s v="Physical Therapy"/>
    <s v="Discussed potential for deep brain stimulation surgery."/>
    <d v="2024-05-02T00:00:00"/>
    <d v="2024-05-21T00:00:00"/>
    <n v="7151.35"/>
    <n v="19"/>
    <x v="5"/>
    <x v="3"/>
    <n v="35"/>
  </r>
  <r>
    <s v="c30e7099-5988-42dc-9fe3-3f58c6453113"/>
    <s v="Matthew Green"/>
    <d v="1959-11-29T00:00:00"/>
    <x v="0"/>
    <x v="6"/>
    <s v="Medication"/>
    <s v="Started on medication to slow progression of symptoms."/>
    <d v="2022-02-02T00:00:00"/>
    <d v="2022-03-01T00:00:00"/>
    <n v="7143.32"/>
    <n v="27"/>
    <x v="11"/>
    <x v="0"/>
    <n v="62"/>
  </r>
  <r>
    <s v="bd5060af-b7bc-420a-886b-c7886f770bde"/>
    <s v="Robert Horn"/>
    <d v="1983-11-30T00:00:00"/>
    <x v="0"/>
    <x v="9"/>
    <s v="Physical Therapy"/>
    <s v="Initiated dopaminergic medication for symptom control."/>
    <d v="2022-11-21T00:00:00"/>
    <d v="2022-12-06T00:00:00"/>
    <n v="7134.35"/>
    <n v="15"/>
    <x v="3"/>
    <x v="0"/>
    <n v="38"/>
  </r>
  <r>
    <s v="85af9c52-5c26-4d05-b967-e7b99d82c6ce"/>
    <s v="Dr. Christopher Morton"/>
    <d v="1986-05-13T00:00:00"/>
    <x v="0"/>
    <x v="12"/>
    <s v="Physical Therapy"/>
    <s v="Referred to physical therapy for joint strengthening exercises."/>
    <d v="2022-05-24T00:00:00"/>
    <d v="2022-06-02T00:00:00"/>
    <n v="7056.87"/>
    <n v="9"/>
    <x v="5"/>
    <x v="0"/>
    <n v="36"/>
  </r>
  <r>
    <s v="592d41b8-4497-4918-89a6-d111f78f545e"/>
    <s v="Sara Kirby"/>
    <d v="1956-12-03T00:00:00"/>
    <x v="1"/>
    <x v="12"/>
    <s v="Physical Therapy"/>
    <s v="Referred to physical therapy for joint strengthening exercises."/>
    <d v="2022-11-16T00:00:00"/>
    <d v="2022-12-15T00:00:00"/>
    <n v="6981.78"/>
    <n v="29"/>
    <x v="3"/>
    <x v="0"/>
    <n v="65"/>
  </r>
  <r>
    <s v="fe404ed7-633c-4a5e-8869-b8ded7d67b8f"/>
    <s v="Cynthia Perry"/>
    <d v="1982-08-13T00:00:00"/>
    <x v="1"/>
    <x v="7"/>
    <s v="Oxygen Therapy"/>
    <s v="Patient requires home oxygen therapy."/>
    <d v="2023-07-13T00:00:00"/>
    <d v="2023-07-24T00:00:00"/>
    <n v="6976.82"/>
    <n v="11"/>
    <x v="2"/>
    <x v="1"/>
    <n v="40"/>
  </r>
  <r>
    <s v="19bf3708-291c-44e7-8cba-7559553b9023"/>
    <s v="Glenda Reyes"/>
    <d v="1959-04-11T00:00:00"/>
    <x v="0"/>
    <x v="9"/>
    <s v="Physical Therapy"/>
    <s v="Referred to physical therapy to improve mobility and balance."/>
    <d v="2024-04-24T00:00:00"/>
    <d v="2024-05-17T00:00:00"/>
    <n v="6890.14"/>
    <n v="23"/>
    <x v="9"/>
    <x v="3"/>
    <n v="65"/>
  </r>
  <r>
    <s v="79e84b96-a262-48d6-9bb3-fa907b320716"/>
    <s v="Denise Cervantes"/>
    <d v="2006-01-14T00:00:00"/>
    <x v="1"/>
    <x v="11"/>
    <s v="Casting"/>
    <s v="Fracture immobilized with casting."/>
    <d v="2021-10-30T00:00:00"/>
    <d v="2021-11-12T00:00:00"/>
    <n v="6823.1"/>
    <n v="13"/>
    <x v="8"/>
    <x v="2"/>
    <n v="15"/>
  </r>
  <r>
    <s v="5a2589dd-e769-4709-95e6-2b6e2c24afb8"/>
    <s v="Elizabeth Harding"/>
    <d v="1973-10-12T00:00:00"/>
    <x v="1"/>
    <x v="11"/>
    <s v="Surgery"/>
    <s v="Discussed surgical options for complex fracture."/>
    <d v="2023-12-17T00:00:00"/>
    <d v="2023-12-25T00:00:00"/>
    <n v="6814.73"/>
    <n v="8"/>
    <x v="0"/>
    <x v="1"/>
    <n v="50"/>
  </r>
  <r>
    <s v="8a7005de-a8dd-4fea-9abb-cc581dcfbd9e"/>
    <s v="Felicia Fletcher"/>
    <d v="2005-05-23T00:00:00"/>
    <x v="1"/>
    <x v="13"/>
    <s v="Insulin Therapy"/>
    <s v="Discussed dietary changes to manage blood sugar levels."/>
    <d v="2023-10-26T00:00:00"/>
    <d v="2023-11-07T00:00:00"/>
    <n v="6729.24"/>
    <n v="12"/>
    <x v="8"/>
    <x v="1"/>
    <n v="18"/>
  </r>
  <r>
    <s v="11b630a2-d1d8-4c8b-83ea-09fcd60be880"/>
    <s v="James Smith"/>
    <d v="1953-08-31T00:00:00"/>
    <x v="1"/>
    <x v="5"/>
    <s v="Medication"/>
    <s v="Discussed strategies to manage fatigue and other symptoms."/>
    <d v="2021-12-09T00:00:00"/>
    <d v="2021-12-23T00:00:00"/>
    <n v="6707.59"/>
    <n v="14"/>
    <x v="0"/>
    <x v="2"/>
    <n v="68"/>
  </r>
  <r>
    <s v="55eada07-ee97-4c50-a4c5-7aec5c385428"/>
    <s v="Charles Warren"/>
    <d v="1982-11-25T00:00:00"/>
    <x v="1"/>
    <x v="11"/>
    <s v="Physical Therapy"/>
    <s v="Discussed surgical options for complex fracture."/>
    <d v="2021-09-24T00:00:00"/>
    <d v="2021-10-24T00:00:00"/>
    <n v="6671.07"/>
    <n v="30"/>
    <x v="6"/>
    <x v="2"/>
    <n v="38"/>
  </r>
  <r>
    <s v="e3a94046-ecf3-4626-b538-e281d7e55f32"/>
    <s v="Andrew King"/>
    <d v="1965-06-07T00:00:00"/>
    <x v="0"/>
    <x v="11"/>
    <s v="Surgery"/>
    <s v="Referred to physical therapy for rehabilitation."/>
    <d v="2024-05-17T00:00:00"/>
    <d v="2024-05-31T00:00:00"/>
    <n v="6565.75"/>
    <n v="14"/>
    <x v="5"/>
    <x v="3"/>
    <n v="58"/>
  </r>
  <r>
    <s v="e18e3ae9-b727-47d0-b84f-b62fc8d37adf"/>
    <s v="Marie Johnson"/>
    <d v="2002-04-15T00:00:00"/>
    <x v="1"/>
    <x v="12"/>
    <s v="Medication"/>
    <s v="Advised on lifestyle modifications to reduce joint pain."/>
    <d v="2021-10-02T00:00:00"/>
    <d v="2021-10-17T00:00:00"/>
    <n v="6554.54"/>
    <n v="15"/>
    <x v="8"/>
    <x v="2"/>
    <n v="19"/>
  </r>
  <r>
    <s v="b01682b8-9fb0-47c3-87cf-40d45c8539e4"/>
    <s v="Brian Walton"/>
    <d v="1935-08-12T00:00:00"/>
    <x v="1"/>
    <x v="11"/>
    <s v="Surgery"/>
    <s v="Referred to physical therapy for rehabilitation."/>
    <d v="2023-08-16T00:00:00"/>
    <d v="2023-09-04T00:00:00"/>
    <n v="6550.66"/>
    <n v="19"/>
    <x v="7"/>
    <x v="1"/>
    <n v="88"/>
  </r>
  <r>
    <s v="33840ef8-e22f-42cd-9d26-7681a51281e2"/>
    <s v="Stephanie Flores DDS"/>
    <d v="1989-08-18T00:00:00"/>
    <x v="1"/>
    <x v="9"/>
    <s v="Medication"/>
    <s v="Discussed potential for deep brain stimulation surgery."/>
    <d v="2023-07-12T00:00:00"/>
    <d v="2023-07-20T00:00:00"/>
    <n v="6525.32"/>
    <n v="8"/>
    <x v="2"/>
    <x v="1"/>
    <n v="33"/>
  </r>
  <r>
    <s v="612b3ae5-4204-4cdf-acac-766dc271a51d"/>
    <s v="Alexis Greene"/>
    <d v="1964-02-10T00:00:00"/>
    <x v="1"/>
    <x v="11"/>
    <s v="Casting"/>
    <s v="Fracture immobilized with casting."/>
    <d v="2024-05-06T00:00:00"/>
    <d v="2024-06-03T00:00:00"/>
    <n v="6508.91"/>
    <n v="28"/>
    <x v="5"/>
    <x v="3"/>
    <n v="60"/>
  </r>
  <r>
    <s v="bb40b293-22b7-4674-8f5c-2464235eb4de"/>
    <s v="Mark Thomas"/>
    <d v="1966-09-14T00:00:00"/>
    <x v="0"/>
    <x v="13"/>
    <s v="Insulin Therapy"/>
    <s v="Patient advised to monitor blood sugar levels regularly."/>
    <d v="2022-05-26T00:00:00"/>
    <d v="2022-06-22T00:00:00"/>
    <n v="6496.06"/>
    <n v="27"/>
    <x v="5"/>
    <x v="0"/>
    <n v="55"/>
  </r>
  <r>
    <s v="01df3728-cefa-421f-9adf-2172f67bb175"/>
    <s v="Richard Perkins"/>
    <d v="1950-06-27T00:00:00"/>
    <x v="0"/>
    <x v="12"/>
    <s v="Medication"/>
    <s v="Advised on lifestyle modifications to reduce joint pain."/>
    <d v="2022-02-08T00:00:00"/>
    <d v="2022-02-13T00:00:00"/>
    <n v="6372.55"/>
    <n v="5"/>
    <x v="11"/>
    <x v="0"/>
    <n v="71"/>
  </r>
  <r>
    <s v="d6f94eab-ea55-4ebc-aba6-d797b415a36a"/>
    <s v="Kim Gutierrez"/>
    <d v="2002-05-16T00:00:00"/>
    <x v="0"/>
    <x v="13"/>
    <s v="Medication"/>
    <s v="Patient advised to monitor blood sugar levels regularly."/>
    <d v="2022-07-28T00:00:00"/>
    <d v="2022-08-20T00:00:00"/>
    <n v="6255.99"/>
    <n v="23"/>
    <x v="2"/>
    <x v="0"/>
    <n v="20"/>
  </r>
  <r>
    <s v="cf629ab7-d8c9-4501-89e2-39987bd2eea0"/>
    <s v="Melissa Clark"/>
    <d v="1928-03-27T00:00:00"/>
    <x v="0"/>
    <x v="10"/>
    <s v="Surgery"/>
    <s v="Advised to maintain a seizure diary."/>
    <d v="2022-12-05T00:00:00"/>
    <d v="2022-12-31T00:00:00"/>
    <n v="6244.67"/>
    <n v="26"/>
    <x v="0"/>
    <x v="0"/>
    <n v="94"/>
  </r>
  <r>
    <s v="f7ae99c6-147a-4a70-b1ef-ac2bf87491ba"/>
    <s v="Adriana Davis"/>
    <d v="2004-04-27T00:00:00"/>
    <x v="0"/>
    <x v="3"/>
    <s v="Antiviral Drugs"/>
    <s v="Monitor for any signs of respiratory failure."/>
    <d v="2022-11-09T00:00:00"/>
    <d v="2022-11-20T00:00:00"/>
    <n v="6224.7"/>
    <n v="11"/>
    <x v="3"/>
    <x v="0"/>
    <n v="18"/>
  </r>
  <r>
    <s v="a6474cc5-902b-4f61-b640-4bf2daa1782a"/>
    <s v="Jennifer Cross"/>
    <d v="1954-02-23T00:00:00"/>
    <x v="0"/>
    <x v="6"/>
    <s v="Medication"/>
    <s v="Referred to cognitive behavioral therapy to improve memory and thinking skills."/>
    <d v="2022-02-23T00:00:00"/>
    <d v="2022-03-04T00:00:00"/>
    <n v="6192.22"/>
    <n v="9"/>
    <x v="11"/>
    <x v="0"/>
    <n v="68"/>
  </r>
  <r>
    <s v="ba1dc0de-5b40-411b-ad3b-9b94ecb8ab3c"/>
    <s v="Jennifer Thomas MD"/>
    <d v="1964-10-19T00:00:00"/>
    <x v="0"/>
    <x v="7"/>
    <s v="Medication"/>
    <s v="Patient requires home oxygen therapy."/>
    <d v="2024-01-24T00:00:00"/>
    <d v="2024-02-20T00:00:00"/>
    <n v="6171.86"/>
    <n v="27"/>
    <x v="1"/>
    <x v="3"/>
    <n v="59"/>
  </r>
  <r>
    <s v="6dae2231-2930-40bc-8aab-24e205034bb1"/>
    <s v="Martin Stevens"/>
    <d v="1999-07-08T00:00:00"/>
    <x v="0"/>
    <x v="13"/>
    <s v="Insulin Therapy"/>
    <s v="Insulin therapy initiated; patient instructed on usage."/>
    <d v="2022-02-08T00:00:00"/>
    <d v="2022-03-04T00:00:00"/>
    <n v="6100.03"/>
    <n v="24"/>
    <x v="11"/>
    <x v="0"/>
    <n v="22"/>
  </r>
  <r>
    <s v="0d76f459-9839-4edb-87cd-06dc2ab39fad"/>
    <s v="Jeffrey Burns DDS"/>
    <d v="1992-10-30T00:00:00"/>
    <x v="0"/>
    <x v="11"/>
    <s v="Casting"/>
    <s v="Fracture immobilized with casting."/>
    <d v="2023-02-21T00:00:00"/>
    <d v="2023-03-15T00:00:00"/>
    <n v="6070.87"/>
    <n v="22"/>
    <x v="11"/>
    <x v="1"/>
    <n v="30"/>
  </r>
  <r>
    <s v="d45e635e-7861-4f6f-909b-9415bbb63602"/>
    <s v="Patrick Miller"/>
    <d v="1991-02-21T00:00:00"/>
    <x v="0"/>
    <x v="5"/>
    <s v="Physical Therapy"/>
    <s v="Referred to physical therapy to maintain muscle strength."/>
    <d v="2023-01-02T00:00:00"/>
    <d v="2023-01-18T00:00:00"/>
    <n v="6006.38"/>
    <n v="16"/>
    <x v="1"/>
    <x v="1"/>
    <n v="31"/>
  </r>
  <r>
    <s v="6b572dd2-36f4-4123-9d91-a350ff68c7d6"/>
    <s v="John Dougherty"/>
    <d v="1998-07-09T00:00:00"/>
    <x v="1"/>
    <x v="11"/>
    <s v="Physical Therapy"/>
    <s v="Discussed surgical options for complex fracture."/>
    <d v="2022-06-03T00:00:00"/>
    <d v="2022-06-24T00:00:00"/>
    <n v="5998.63"/>
    <n v="21"/>
    <x v="4"/>
    <x v="0"/>
    <n v="23"/>
  </r>
  <r>
    <s v="5bb8f4f5-e7b2-49ac-9fe7-34beda8edec9"/>
    <s v="Richard Terry"/>
    <d v="1931-02-23T00:00:00"/>
    <x v="1"/>
    <x v="3"/>
    <s v="Antiviral Drugs"/>
    <s v="Oxygen therapy administered for low blood oxygen levels."/>
    <d v="2021-10-23T00:00:00"/>
    <d v="2021-11-17T00:00:00"/>
    <n v="5963.88"/>
    <n v="25"/>
    <x v="8"/>
    <x v="2"/>
    <n v="90"/>
  </r>
  <r>
    <s v="e968321e-820b-44f7-9b97-ac74f4859548"/>
    <s v="Brett Johnson"/>
    <d v="1950-03-04T00:00:00"/>
    <x v="0"/>
    <x v="10"/>
    <s v="Medication"/>
    <s v="Advised to maintain a seizure diary."/>
    <d v="2022-01-19T00:00:00"/>
    <d v="2022-02-07T00:00:00"/>
    <n v="5944.73"/>
    <n v="19"/>
    <x v="1"/>
    <x v="0"/>
    <n v="71"/>
  </r>
  <r>
    <s v="82c83903-2e1f-41af-8a88-e522f0aa9700"/>
    <s v="John Ryan"/>
    <d v="1973-06-09T00:00:00"/>
    <x v="1"/>
    <x v="8"/>
    <s v="Hospitalization"/>
    <s v="Monitor for any signs of respiratory distress."/>
    <d v="2023-08-18T00:00:00"/>
    <d v="2023-08-28T00:00:00"/>
    <n v="5943.08"/>
    <n v="10"/>
    <x v="7"/>
    <x v="1"/>
    <n v="50"/>
  </r>
  <r>
    <s v="0a609565-8cbc-4e36-ab34-430f5183069c"/>
    <s v="Joseph Miller"/>
    <d v="2000-07-19T00:00:00"/>
    <x v="0"/>
    <x v="13"/>
    <s v="Insulin Therapy"/>
    <s v="Insulin therapy initiated; patient instructed on usage."/>
    <d v="2021-09-29T00:00:00"/>
    <d v="2021-10-20T00:00:00"/>
    <n v="5905.59"/>
    <n v="21"/>
    <x v="6"/>
    <x v="2"/>
    <n v="21"/>
  </r>
  <r>
    <s v="386993a4-7292-4185-b7c3-ea354c1f76c7"/>
    <s v="Jacqueline Diaz"/>
    <d v="1962-06-19T00:00:00"/>
    <x v="1"/>
    <x v="6"/>
    <s v="Cognitive Behavioral Therapy"/>
    <s v="Referred to cognitive behavioral therapy to improve memory and thinking skills."/>
    <d v="2021-09-25T00:00:00"/>
    <d v="2021-10-17T00:00:00"/>
    <n v="5897.98"/>
    <n v="22"/>
    <x v="6"/>
    <x v="2"/>
    <n v="59"/>
  </r>
  <r>
    <s v="2964818a-8ed2-4b0a-9ed8-ca9216f12372"/>
    <s v="Ashley Hernandez"/>
    <d v="1999-11-02T00:00:00"/>
    <x v="1"/>
    <x v="12"/>
    <s v="Physical Therapy"/>
    <s v="Prescribed anti-inflammatory medication."/>
    <d v="2023-11-12T00:00:00"/>
    <d v="2023-12-05T00:00:00"/>
    <n v="5837.5"/>
    <n v="23"/>
    <x v="3"/>
    <x v="1"/>
    <n v="24"/>
  </r>
  <r>
    <s v="ac5cab5b-6a9a-406a-b0ec-3a7f148419d3"/>
    <s v="Marissa Cole"/>
    <d v="1971-10-17T00:00:00"/>
    <x v="1"/>
    <x v="7"/>
    <s v="Oxygen Therapy"/>
    <s v="Referred to pulmonary rehabilitation program."/>
    <d v="2022-04-26T00:00:00"/>
    <d v="2022-04-29T00:00:00"/>
    <n v="5831.51"/>
    <n v="3"/>
    <x v="9"/>
    <x v="0"/>
    <n v="50"/>
  </r>
  <r>
    <s v="4aa8fb1d-2e7a-4a8d-bd88-60768877273f"/>
    <s v="Laura Velasquez"/>
    <d v="1990-10-15T00:00:00"/>
    <x v="1"/>
    <x v="12"/>
    <s v="Physical Therapy"/>
    <s v="Referred to physical therapy for joint strengthening exercises."/>
    <d v="2023-02-13T00:00:00"/>
    <d v="2023-02-22T00:00:00"/>
    <n v="5774.94"/>
    <n v="9"/>
    <x v="11"/>
    <x v="1"/>
    <n v="32"/>
  </r>
  <r>
    <s v="c568470b-7149-4a4f-aa44-801635b0afe5"/>
    <s v="Kevin Washington"/>
    <d v="1947-05-06T00:00:00"/>
    <x v="0"/>
    <x v="12"/>
    <s v="Medication"/>
    <s v="Prescribed anti-inflammatory medication."/>
    <d v="2022-01-12T00:00:00"/>
    <d v="2022-02-05T00:00:00"/>
    <n v="5746.82"/>
    <n v="24"/>
    <x v="1"/>
    <x v="0"/>
    <n v="74"/>
  </r>
  <r>
    <s v="0ee3999e-d77f-4985-abae-71c1a4f0a003"/>
    <s v="David Jackson"/>
    <d v="1976-11-11T00:00:00"/>
    <x v="0"/>
    <x v="11"/>
    <s v="Physical Therapy"/>
    <s v="Referred to physical therapy for rehabilitation."/>
    <d v="2021-07-17T00:00:00"/>
    <d v="2021-08-09T00:00:00"/>
    <n v="5717.08"/>
    <n v="23"/>
    <x v="2"/>
    <x v="2"/>
    <n v="44"/>
  </r>
  <r>
    <s v="3d6b76a9-aa27-4dcd-bf8e-ee9e6259d1ce"/>
    <s v="Valerie Martin"/>
    <d v="1963-08-18T00:00:00"/>
    <x v="0"/>
    <x v="11"/>
    <s v="Physical Therapy"/>
    <s v="Discussed surgical options for complex fracture."/>
    <d v="2022-01-15T00:00:00"/>
    <d v="2022-02-05T00:00:00"/>
    <n v="5699.43"/>
    <n v="21"/>
    <x v="1"/>
    <x v="0"/>
    <n v="58"/>
  </r>
  <r>
    <s v="af00ac9c-04aa-40f4-abde-94b151dca614"/>
    <s v="Neil Coleman"/>
    <d v="1996-02-19T00:00:00"/>
    <x v="0"/>
    <x v="11"/>
    <s v="Casting"/>
    <s v="Discussed surgical options for complex fracture."/>
    <d v="2024-04-29T00:00:00"/>
    <d v="2024-05-08T00:00:00"/>
    <n v="5656.22"/>
    <n v="9"/>
    <x v="9"/>
    <x v="3"/>
    <n v="28"/>
  </r>
  <r>
    <s v="93ef3d90-a82d-4abb-a74d-26a7861dbf25"/>
    <s v="Ashley Reeves"/>
    <d v="1982-09-26T00:00:00"/>
    <x v="0"/>
    <x v="11"/>
    <s v="Casting"/>
    <s v="Discussed surgical options for complex fracture."/>
    <d v="2023-02-05T00:00:00"/>
    <d v="2023-02-08T00:00:00"/>
    <n v="5623.5"/>
    <n v="3"/>
    <x v="11"/>
    <x v="1"/>
    <n v="40"/>
  </r>
  <r>
    <s v="132c7b14-9f46-453f-8385-55fc2df8ae91"/>
    <s v="Arthur Hardin"/>
    <d v="1924-09-10T00:00:00"/>
    <x v="0"/>
    <x v="9"/>
    <s v="Physical Therapy"/>
    <s v="Referred to physical therapy to improve mobility and balance."/>
    <d v="2022-09-25T00:00:00"/>
    <d v="2022-10-13T00:00:00"/>
    <n v="5621.6"/>
    <n v="18"/>
    <x v="6"/>
    <x v="0"/>
    <n v="98"/>
  </r>
  <r>
    <s v="b70317d0-7246-40a6-9e7d-90a94c75eb02"/>
    <s v="Tina Scott"/>
    <d v="1929-09-05T00:00:00"/>
    <x v="1"/>
    <x v="5"/>
    <s v="Medication"/>
    <s v="Referred to physical therapy to maintain muscle strength."/>
    <d v="2022-07-05T00:00:00"/>
    <d v="2022-07-26T00:00:00"/>
    <n v="5535.47"/>
    <n v="21"/>
    <x v="2"/>
    <x v="0"/>
    <n v="92"/>
  </r>
  <r>
    <s v="b6471650-f5ca-40a3-977a-b765bd92eed3"/>
    <s v="Shannon Hayes"/>
    <d v="1954-11-25T00:00:00"/>
    <x v="0"/>
    <x v="12"/>
    <s v="Medication"/>
    <s v="Referred to physical therapy for joint strengthening exercises."/>
    <d v="2022-10-05T00:00:00"/>
    <d v="2022-11-02T00:00:00"/>
    <n v="5523.14"/>
    <n v="28"/>
    <x v="8"/>
    <x v="0"/>
    <n v="67"/>
  </r>
  <r>
    <s v="2d90f7bd-9a49-4aee-bb81-b51c626db732"/>
    <s v="Kimberly Daniels"/>
    <d v="2017-09-02T00:00:00"/>
    <x v="1"/>
    <x v="3"/>
    <s v="Ventilation"/>
    <s v="Oxygen therapy administered for low blood oxygen levels."/>
    <d v="2023-08-06T00:00:00"/>
    <d v="2023-08-11T00:00:00"/>
    <n v="5514.05"/>
    <n v="5"/>
    <x v="7"/>
    <x v="1"/>
    <n v="5"/>
  </r>
  <r>
    <s v="fc56928a-c9ab-49ba-850c-368f08dde733"/>
    <s v="Charles Oliver"/>
    <d v="1986-06-18T00:00:00"/>
    <x v="0"/>
    <x v="8"/>
    <s v="Hospitalization"/>
    <s v="Monitor for any signs of respiratory distress."/>
    <d v="2023-12-03T00:00:00"/>
    <d v="2023-12-10T00:00:00"/>
    <n v="5428.3"/>
    <n v="7"/>
    <x v="0"/>
    <x v="1"/>
    <n v="37"/>
  </r>
  <r>
    <s v="32342b20-51b0-4fd7-acd0-ea7a268f971a"/>
    <s v="Carlos Young"/>
    <d v="1972-07-07T00:00:00"/>
    <x v="0"/>
    <x v="8"/>
    <s v="Hospitalization"/>
    <s v="Monitor for any signs of respiratory distress."/>
    <d v="2024-01-11T00:00:00"/>
    <d v="2024-01-29T00:00:00"/>
    <n v="5425.04"/>
    <n v="18"/>
    <x v="1"/>
    <x v="3"/>
    <n v="51"/>
  </r>
  <r>
    <s v="3aba0c69-2934-4741-8120-5b34197714cc"/>
    <s v="Zachary Wright"/>
    <d v="1972-12-08T00:00:00"/>
    <x v="1"/>
    <x v="5"/>
    <s v="Physical Therapy"/>
    <s v="Disease-modifying therapy initiated."/>
    <d v="2022-11-09T00:00:00"/>
    <d v="2022-11-13T00:00:00"/>
    <n v="5372.51"/>
    <n v="4"/>
    <x v="3"/>
    <x v="0"/>
    <n v="49"/>
  </r>
  <r>
    <s v="d8e675b9-0419-4870-b514-29cc50249885"/>
    <s v="Jonathan Thomas"/>
    <d v="1937-04-09T00:00:00"/>
    <x v="1"/>
    <x v="9"/>
    <s v="Medication"/>
    <s v="Initiated dopaminergic medication for symptom control."/>
    <d v="2023-08-04T00:00:00"/>
    <d v="2023-08-06T00:00:00"/>
    <n v="5356.65"/>
    <n v="2"/>
    <x v="7"/>
    <x v="1"/>
    <n v="86"/>
  </r>
  <r>
    <s v="e64e564d-c9e4-4e76-97aa-2bfa545fdb0e"/>
    <s v="Christopher Mcclain"/>
    <d v="1958-12-02T00:00:00"/>
    <x v="0"/>
    <x v="6"/>
    <s v="Medication"/>
    <s v="Referred to cognitive behavioral therapy to improve memory and thinking skills."/>
    <d v="2022-09-08T00:00:00"/>
    <d v="2022-09-10T00:00:00"/>
    <n v="5225.13"/>
    <n v="2"/>
    <x v="6"/>
    <x v="0"/>
    <n v="63"/>
  </r>
  <r>
    <s v="c62df06e-121f-4044-8b26-cc8763a0136d"/>
    <s v="Lisa Caldwell"/>
    <d v="1981-10-22T00:00:00"/>
    <x v="1"/>
    <x v="8"/>
    <s v="Oxygen Therapy"/>
    <s v="Hospitalized for closer monitoring and oxygen therapy."/>
    <d v="2023-05-03T00:00:00"/>
    <d v="2023-05-06T00:00:00"/>
    <n v="5213.6899999999996"/>
    <n v="3"/>
    <x v="5"/>
    <x v="1"/>
    <n v="41"/>
  </r>
  <r>
    <s v="04b124d5-b7ad-449f-8ac3-2796eb889f6b"/>
    <s v="Leah James"/>
    <d v="1984-06-18T00:00:00"/>
    <x v="1"/>
    <x v="13"/>
    <s v="Lifestyle Changes"/>
    <s v="Insulin therapy initiated; patient instructed on usage."/>
    <d v="2021-11-16T00:00:00"/>
    <d v="2021-11-29T00:00:00"/>
    <n v="5212.7299999999996"/>
    <n v="13"/>
    <x v="3"/>
    <x v="2"/>
    <n v="37"/>
  </r>
  <r>
    <s v="77ab152e-407c-4ae2-88e9-c34587bc6561"/>
    <s v="Andrea Wood"/>
    <d v="1973-11-26T00:00:00"/>
    <x v="1"/>
    <x v="13"/>
    <s v="Insulin Therapy"/>
    <s v="Patient advised to monitor blood sugar levels regularly."/>
    <d v="2021-10-29T00:00:00"/>
    <d v="2021-11-21T00:00:00"/>
    <n v="5017.34"/>
    <n v="23"/>
    <x v="8"/>
    <x v="2"/>
    <n v="47"/>
  </r>
  <r>
    <s v="46fb8d08-4a27-41d5-a0f2-28f15f75c5d9"/>
    <s v="John Gomez"/>
    <d v="1928-05-08T00:00:00"/>
    <x v="0"/>
    <x v="12"/>
    <s v="Physical Therapy"/>
    <s v="Advised on lifestyle modifications to reduce joint pain."/>
    <d v="2023-01-03T00:00:00"/>
    <d v="2023-01-25T00:00:00"/>
    <n v="5012.87"/>
    <n v="22"/>
    <x v="1"/>
    <x v="1"/>
    <n v="94"/>
  </r>
  <r>
    <s v="3f1e55ad-ccf7-4bd1-a957-222db2c2d9f9"/>
    <s v="Marcus Jensen"/>
    <d v="1964-12-13T00:00:00"/>
    <x v="0"/>
    <x v="14"/>
    <s v="Lifestyle Changes"/>
    <s v="Advised to reduce salt intake and increase physical activity."/>
    <d v="2024-02-12T00:00:00"/>
    <d v="2024-02-22T00:00:00"/>
    <n v="4994.5200000000004"/>
    <n v="10"/>
    <x v="11"/>
    <x v="3"/>
    <n v="59"/>
  </r>
  <r>
    <s v="190aefdd-802c-47a9-a454-25c4434b1d6e"/>
    <s v="Cynthia Harvey"/>
    <d v="1948-02-04T00:00:00"/>
    <x v="1"/>
    <x v="13"/>
    <s v="Lifestyle Changes"/>
    <s v="Patient advised to monitor blood sugar levels regularly."/>
    <d v="2023-02-17T00:00:00"/>
    <d v="2023-02-21T00:00:00"/>
    <n v="4960.79"/>
    <n v="4"/>
    <x v="11"/>
    <x v="1"/>
    <n v="75"/>
  </r>
  <r>
    <s v="3cde4395-fb05-4d92-8786-9a7c2ebb77c0"/>
    <s v="Stephen Moore"/>
    <d v="1969-06-23T00:00:00"/>
    <x v="0"/>
    <x v="10"/>
    <s v="Medication"/>
    <s v="Advised to maintain a seizure diary."/>
    <d v="2022-10-24T00:00:00"/>
    <d v="2022-11-13T00:00:00"/>
    <n v="4943.25"/>
    <n v="20"/>
    <x v="8"/>
    <x v="0"/>
    <n v="53"/>
  </r>
  <r>
    <s v="e4a9d5f0-f31d-4b3e-a270-308b73a771ff"/>
    <s v="Gary Nicholson"/>
    <d v="1950-02-03T00:00:00"/>
    <x v="1"/>
    <x v="14"/>
    <s v="Medication"/>
    <s v="Patient started on antihypertensive medication."/>
    <d v="2021-12-30T00:00:00"/>
    <d v="2022-01-16T00:00:00"/>
    <n v="4925.04"/>
    <n v="17"/>
    <x v="0"/>
    <x v="2"/>
    <n v="71"/>
  </r>
  <r>
    <s v="98fa0568-a316-4369-862a-defb0b24423c"/>
    <s v="Sarah Adams"/>
    <d v="1948-03-30T00:00:00"/>
    <x v="0"/>
    <x v="14"/>
    <s v="Lifestyle Changes"/>
    <s v="Follow-up in two weeks to monitor blood pressure."/>
    <d v="2021-12-21T00:00:00"/>
    <d v="2022-01-18T00:00:00"/>
    <n v="4908.09"/>
    <n v="28"/>
    <x v="0"/>
    <x v="2"/>
    <n v="73"/>
  </r>
  <r>
    <s v="40cdf01c-4646-404d-9886-b2d30b4acce2"/>
    <s v="Crystal Lowe"/>
    <d v="1992-05-05T00:00:00"/>
    <x v="0"/>
    <x v="15"/>
    <s v="Anxiolytics"/>
    <s v="Discussed stress management techniques."/>
    <d v="2023-07-04T00:00:00"/>
    <d v="2023-07-07T00:00:00"/>
    <n v="4906.97"/>
    <n v="3"/>
    <x v="2"/>
    <x v="1"/>
    <n v="31"/>
  </r>
  <r>
    <s v="422bd94a-41e1-4bdc-96a3-f7570a868df1"/>
    <s v="Christopher Rodriguez"/>
    <d v="1990-12-19T00:00:00"/>
    <x v="1"/>
    <x v="14"/>
    <s v="Lifestyle Changes"/>
    <s v="Patient started on antihypertensive medication."/>
    <d v="2021-07-16T00:00:00"/>
    <d v="2021-07-20T00:00:00"/>
    <n v="4879.91"/>
    <n v="4"/>
    <x v="2"/>
    <x v="2"/>
    <n v="30"/>
  </r>
  <r>
    <s v="b00d9706-30cf-44dd-8acc-6f1991932b15"/>
    <s v="Matthew Mcdaniel"/>
    <d v="2017-05-09T00:00:00"/>
    <x v="1"/>
    <x v="13"/>
    <s v="Medication"/>
    <s v="Insulin therapy initiated; patient instructed on usage."/>
    <d v="2022-04-27T00:00:00"/>
    <d v="2022-05-16T00:00:00"/>
    <n v="4879.84"/>
    <n v="19"/>
    <x v="9"/>
    <x v="0"/>
    <n v="4"/>
  </r>
  <r>
    <s v="08ca00f5-7e53-4424-8be3-958db401cc39"/>
    <s v="Suzanne Gross"/>
    <d v="1990-06-22T00:00:00"/>
    <x v="1"/>
    <x v="15"/>
    <s v="Anxiolytics"/>
    <s v="Prescribed anxiolytic medication for symptom control."/>
    <d v="2024-06-23T00:00:00"/>
    <d v="2024-07-19T00:00:00"/>
    <n v="4855.51"/>
    <n v="26"/>
    <x v="4"/>
    <x v="3"/>
    <n v="34"/>
  </r>
  <r>
    <s v="ff7facdb-6bbf-411c-94f8-5c96899b0865"/>
    <s v="James Howard"/>
    <d v="1930-04-25T00:00:00"/>
    <x v="1"/>
    <x v="14"/>
    <s v="Medication"/>
    <s v="Follow-up in two weeks to monitor blood pressure."/>
    <d v="2023-01-07T00:00:00"/>
    <d v="2023-02-05T00:00:00"/>
    <n v="4789.76"/>
    <n v="29"/>
    <x v="1"/>
    <x v="1"/>
    <n v="92"/>
  </r>
  <r>
    <s v="f50b5064-5f17-4e74-bf67-20a467ad5cad"/>
    <s v="Kelsey Johnson"/>
    <d v="1997-01-15T00:00:00"/>
    <x v="1"/>
    <x v="13"/>
    <s v="Lifestyle Changes"/>
    <s v="Patient advised to monitor blood sugar levels regularly."/>
    <d v="2022-01-17T00:00:00"/>
    <d v="2022-01-27T00:00:00"/>
    <n v="4784.99"/>
    <n v="10"/>
    <x v="1"/>
    <x v="0"/>
    <n v="25"/>
  </r>
  <r>
    <s v="5ee12575-19d4-4965-a893-1e19f89fc8b4"/>
    <s v="Thomas Wilson"/>
    <d v="1944-04-24T00:00:00"/>
    <x v="0"/>
    <x v="16"/>
    <s v="Antidepressants"/>
    <s v="Prescribed antidepressant medication."/>
    <d v="2022-05-06T00:00:00"/>
    <d v="2022-06-01T00:00:00"/>
    <n v="4782.0200000000004"/>
    <n v="26"/>
    <x v="5"/>
    <x v="0"/>
    <n v="78"/>
  </r>
  <r>
    <s v="c270f384-4500-44c0-b97a-beb8c4d01bca"/>
    <s v="Sheila Kerr"/>
    <d v="1955-07-27T00:00:00"/>
    <x v="0"/>
    <x v="16"/>
    <s v="Antidepressants"/>
    <s v="Follow-up to assess effectiveness of treatment."/>
    <d v="2023-12-26T00:00:00"/>
    <d v="2024-01-14T00:00:00"/>
    <n v="4759.12"/>
    <n v="19"/>
    <x v="0"/>
    <x v="1"/>
    <n v="68"/>
  </r>
  <r>
    <s v="5855a0be-6400-4dd4-8d48-6459ab9e5f4d"/>
    <s v="Jacob Evans"/>
    <d v="1983-03-18T00:00:00"/>
    <x v="0"/>
    <x v="17"/>
    <s v="Medication"/>
    <s v="Prescribed bronchodilator for immediate relief."/>
    <d v="2024-05-14T00:00:00"/>
    <d v="2024-06-08T00:00:00"/>
    <n v="4730.26"/>
    <n v="25"/>
    <x v="5"/>
    <x v="3"/>
    <n v="41"/>
  </r>
  <r>
    <s v="14455bf6-b69d-4fc4-bd28-e923ee0d67d0"/>
    <s v="Eric Bailey"/>
    <d v="1982-12-10T00:00:00"/>
    <x v="0"/>
    <x v="14"/>
    <s v="Lifestyle Changes"/>
    <s v="Follow-up in two weeks to monitor blood pressure."/>
    <d v="2024-01-09T00:00:00"/>
    <d v="2024-02-07T00:00:00"/>
    <n v="4719.42"/>
    <n v="29"/>
    <x v="1"/>
    <x v="3"/>
    <n v="41"/>
  </r>
  <r>
    <s v="c51eddcf-120c-4136-ac8a-c6b58483ca2b"/>
    <s v="Jo Burch"/>
    <d v="1953-03-21T00:00:00"/>
    <x v="0"/>
    <x v="15"/>
    <s v="Cognitive Behavioral Therapy"/>
    <s v="Prescribed anxiolytic medication for symptom control."/>
    <d v="2024-05-30T00:00:00"/>
    <d v="2024-06-08T00:00:00"/>
    <n v="4714.6899999999996"/>
    <n v="9"/>
    <x v="5"/>
    <x v="3"/>
    <n v="71"/>
  </r>
  <r>
    <s v="42ac1358-e579-4432-9093-dbfc68d51225"/>
    <s v="Johnny Schultz"/>
    <d v="2009-04-28T00:00:00"/>
    <x v="1"/>
    <x v="16"/>
    <s v="Therapy"/>
    <s v="Referred to therapy for additional support."/>
    <d v="2023-07-25T00:00:00"/>
    <d v="2023-08-21T00:00:00"/>
    <n v="4707.26"/>
    <n v="27"/>
    <x v="2"/>
    <x v="1"/>
    <n v="14"/>
  </r>
  <r>
    <s v="10aa00cb-d137-4311-9647-55e6d629e1b4"/>
    <s v="Carlos Bell"/>
    <d v="1971-09-17T00:00:00"/>
    <x v="0"/>
    <x v="16"/>
    <s v="Antidepressants"/>
    <s v="Referred to therapy for additional support."/>
    <d v="2023-12-10T00:00:00"/>
    <d v="2023-12-13T00:00:00"/>
    <n v="4674.1899999999996"/>
    <n v="3"/>
    <x v="0"/>
    <x v="1"/>
    <n v="52"/>
  </r>
  <r>
    <s v="3ab3cf9f-7455-4250-bb2f-61394901bf9d"/>
    <s v="Jennifer Vega"/>
    <d v="1989-09-22T00:00:00"/>
    <x v="1"/>
    <x v="11"/>
    <s v="Physical Therapy"/>
    <s v="Referred to physical therapy for rehabilitation."/>
    <d v="2024-06-11T00:00:00"/>
    <d v="2024-07-07T00:00:00"/>
    <n v="4649.8999999999996"/>
    <n v="26"/>
    <x v="4"/>
    <x v="3"/>
    <n v="34"/>
  </r>
  <r>
    <s v="f282822e-bad5-4937-96b7-eb3cb56f03b3"/>
    <s v="Hunter Stone"/>
    <d v="1950-11-08T00:00:00"/>
    <x v="0"/>
    <x v="15"/>
    <s v="Anxiolytics"/>
    <s v="Referred to cognitive behavioral therapy."/>
    <d v="2022-11-03T00:00:00"/>
    <d v="2022-11-15T00:00:00"/>
    <n v="4577.24"/>
    <n v="12"/>
    <x v="3"/>
    <x v="0"/>
    <n v="71"/>
  </r>
  <r>
    <s v="c1819031-fe20-48a1-a418-b38114351138"/>
    <s v="Ashley Shepard"/>
    <d v="1926-09-03T00:00:00"/>
    <x v="1"/>
    <x v="10"/>
    <s v="Surgery"/>
    <s v="Discussed surgical options for refractory epilepsy."/>
    <d v="2022-07-22T00:00:00"/>
    <d v="2022-08-21T00:00:00"/>
    <n v="4570.7299999999996"/>
    <n v="30"/>
    <x v="2"/>
    <x v="0"/>
    <n v="95"/>
  </r>
  <r>
    <s v="4508f173-15f3-44f6-844e-38e0c962e850"/>
    <s v="Robert Charles"/>
    <d v="1954-12-22T00:00:00"/>
    <x v="0"/>
    <x v="11"/>
    <s v="Physical Therapy"/>
    <s v="Fracture immobilized with casting."/>
    <d v="2023-11-04T00:00:00"/>
    <d v="2023-11-22T00:00:00"/>
    <n v="4557.9799999999996"/>
    <n v="18"/>
    <x v="3"/>
    <x v="1"/>
    <n v="68"/>
  </r>
  <r>
    <s v="94194987-ba5c-45b5-99cc-1f33a36791bd"/>
    <s v="Cameron Parker"/>
    <d v="1940-10-13T00:00:00"/>
    <x v="0"/>
    <x v="13"/>
    <s v="Medication"/>
    <s v="Discussed dietary changes to manage blood sugar levels."/>
    <d v="2021-11-25T00:00:00"/>
    <d v="2021-11-27T00:00:00"/>
    <n v="4517.2700000000004"/>
    <n v="2"/>
    <x v="3"/>
    <x v="2"/>
    <n v="81"/>
  </r>
  <r>
    <s v="fb27f30f-c615-4d7d-bdc3-5aa4d92f756b"/>
    <s v="Alicia Hobbs"/>
    <d v="1928-12-15T00:00:00"/>
    <x v="0"/>
    <x v="17"/>
    <s v="Inhalers"/>
    <s v="Prescribed bronchodilator for immediate relief."/>
    <d v="2021-08-12T00:00:00"/>
    <d v="2021-08-27T00:00:00"/>
    <n v="4505.97"/>
    <n v="15"/>
    <x v="7"/>
    <x v="2"/>
    <n v="92"/>
  </r>
  <r>
    <s v="085114df-f5ed-462e-b858-e38fefa67a7e"/>
    <s v="James Alvarez"/>
    <d v="1925-06-28T00:00:00"/>
    <x v="0"/>
    <x v="16"/>
    <s v="Antidepressants"/>
    <s v="Prescribed antidepressant medication."/>
    <d v="2023-11-16T00:00:00"/>
    <d v="2023-12-11T00:00:00"/>
    <n v="4483.2"/>
    <n v="25"/>
    <x v="3"/>
    <x v="1"/>
    <n v="98"/>
  </r>
  <r>
    <s v="0f109ad0-7c40-4197-9ff4-bc6831bcb184"/>
    <s v="Mark Ramsey"/>
    <d v="1953-04-10T00:00:00"/>
    <x v="0"/>
    <x v="13"/>
    <s v="Medication"/>
    <s v="Discussed dietary changes to manage blood sugar levels."/>
    <d v="2022-07-30T00:00:00"/>
    <d v="2022-08-17T00:00:00"/>
    <n v="4435.09"/>
    <n v="18"/>
    <x v="2"/>
    <x v="0"/>
    <n v="69"/>
  </r>
  <r>
    <s v="25e1ba57-5a7c-4ab7-9a92-96896685b2b0"/>
    <s v="Brandon White"/>
    <d v="1957-02-11T00:00:00"/>
    <x v="0"/>
    <x v="10"/>
    <s v="Surgery"/>
    <s v="Discussed surgical options for refractory epilepsy."/>
    <d v="2021-09-06T00:00:00"/>
    <d v="2021-09-26T00:00:00"/>
    <n v="4424.62"/>
    <n v="20"/>
    <x v="6"/>
    <x v="2"/>
    <n v="64"/>
  </r>
  <r>
    <s v="65355403-d1c8-44ce-a611-dea646da69ef"/>
    <s v="Timothy Pineda"/>
    <d v="1982-02-15T00:00:00"/>
    <x v="0"/>
    <x v="17"/>
    <s v="Medication"/>
    <s v="Patient instructed on proper inhaler technique."/>
    <d v="2021-10-12T00:00:00"/>
    <d v="2021-10-21T00:00:00"/>
    <n v="4392.3500000000004"/>
    <n v="9"/>
    <x v="8"/>
    <x v="2"/>
    <n v="39"/>
  </r>
  <r>
    <s v="94e618a9-2f4f-43a6-ad36-ea69c4cefdf2"/>
    <s v="Eugene Hardy"/>
    <d v="1924-10-14T00:00:00"/>
    <x v="0"/>
    <x v="12"/>
    <s v="Physical Therapy"/>
    <s v="Referred to physical therapy for joint strengthening exercises."/>
    <d v="2023-07-15T00:00:00"/>
    <d v="2023-07-20T00:00:00"/>
    <n v="4370.53"/>
    <n v="5"/>
    <x v="2"/>
    <x v="1"/>
    <n v="98"/>
  </r>
  <r>
    <s v="bcc43bd4-5ece-4ce3-bce1-e2357510b655"/>
    <s v="Deanna Carlson"/>
    <d v="1965-07-17T00:00:00"/>
    <x v="1"/>
    <x v="16"/>
    <s v="Antidepressants"/>
    <s v="Follow-up to assess effectiveness of treatment."/>
    <d v="2023-12-10T00:00:00"/>
    <d v="2023-12-24T00:00:00"/>
    <n v="4365.59"/>
    <n v="14"/>
    <x v="0"/>
    <x v="1"/>
    <n v="58"/>
  </r>
  <r>
    <s v="c52b3462-a87f-4e17-ac99-90838c9c8d54"/>
    <s v="Lisa Green"/>
    <d v="1985-05-14T00:00:00"/>
    <x v="1"/>
    <x v="15"/>
    <s v="Anxiolytics"/>
    <s v="Discussed stress management techniques."/>
    <d v="2022-11-03T00:00:00"/>
    <d v="2022-11-10T00:00:00"/>
    <n v="4352.93"/>
    <n v="7"/>
    <x v="3"/>
    <x v="0"/>
    <n v="37"/>
  </r>
  <r>
    <s v="0daa3f73-51c1-4e8b-89c1-5e2d57b5ef36"/>
    <s v="Lynn Brandt"/>
    <d v="1961-05-14T00:00:00"/>
    <x v="1"/>
    <x v="14"/>
    <s v="Lifestyle Changes"/>
    <s v="Patient started on antihypertensive medication."/>
    <d v="2022-01-24T00:00:00"/>
    <d v="2022-01-28T00:00:00"/>
    <n v="4341.88"/>
    <n v="4"/>
    <x v="1"/>
    <x v="0"/>
    <n v="60"/>
  </r>
  <r>
    <s v="66a43bfe-3f29-4f19-892e-46b2964ba7e1"/>
    <s v="Bryan Hill"/>
    <d v="1971-07-24T00:00:00"/>
    <x v="0"/>
    <x v="16"/>
    <s v="Therapy"/>
    <s v="Follow-up to assess effectiveness of treatment."/>
    <d v="2024-05-16T00:00:00"/>
    <d v="2024-05-28T00:00:00"/>
    <n v="4333.53"/>
    <n v="12"/>
    <x v="5"/>
    <x v="3"/>
    <n v="52"/>
  </r>
  <r>
    <s v="1322b035-a304-4c85-a843-9991fb0d3a96"/>
    <s v="Gregory Kirk"/>
    <d v="1957-05-01T00:00:00"/>
    <x v="0"/>
    <x v="15"/>
    <s v="Anxiolytics"/>
    <s v="Referred to cognitive behavioral therapy."/>
    <d v="2024-03-03T00:00:00"/>
    <d v="2024-03-27T00:00:00"/>
    <n v="4297.34"/>
    <n v="24"/>
    <x v="10"/>
    <x v="3"/>
    <n v="66"/>
  </r>
  <r>
    <s v="0a4bcb32-39b2-49c9-ae11-a7aa19e23d42"/>
    <s v="Travis Newman"/>
    <d v="1981-05-11T00:00:00"/>
    <x v="1"/>
    <x v="14"/>
    <s v="Lifestyle Changes"/>
    <s v="Follow-up in two weeks to monitor blood pressure."/>
    <d v="2023-08-12T00:00:00"/>
    <d v="2023-09-08T00:00:00"/>
    <n v="4262.2"/>
    <n v="27"/>
    <x v="7"/>
    <x v="1"/>
    <n v="42"/>
  </r>
  <r>
    <s v="36afc640-ce2e-4da2-90ed-f4903777c9c2"/>
    <s v="Mrs. Debbie Gardner DVM"/>
    <d v="2005-02-01T00:00:00"/>
    <x v="0"/>
    <x v="14"/>
    <s v="Medication"/>
    <s v="Patient started on antihypertensive medication."/>
    <d v="2024-02-09T00:00:00"/>
    <d v="2024-02-27T00:00:00"/>
    <n v="4212.9399999999996"/>
    <n v="18"/>
    <x v="11"/>
    <x v="3"/>
    <n v="19"/>
  </r>
  <r>
    <s v="fc8b176b-e849-47a3-8ea2-115a0dc1a835"/>
    <s v="Amy Gill"/>
    <d v="1968-01-01T00:00:00"/>
    <x v="0"/>
    <x v="11"/>
    <s v="Casting"/>
    <s v="Discussed surgical options for complex fracture."/>
    <d v="2022-05-08T00:00:00"/>
    <d v="2022-06-01T00:00:00"/>
    <n v="4177.09"/>
    <n v="24"/>
    <x v="5"/>
    <x v="0"/>
    <n v="54"/>
  </r>
  <r>
    <s v="65a19a2b-b147-42bc-b805-c9924dc43825"/>
    <s v="Michael White"/>
    <d v="1954-02-20T00:00:00"/>
    <x v="1"/>
    <x v="16"/>
    <s v="Therapy"/>
    <s v="Follow-up to assess effectiveness of treatment."/>
    <d v="2023-10-04T00:00:00"/>
    <d v="2023-10-15T00:00:00"/>
    <n v="4166.6899999999996"/>
    <n v="11"/>
    <x v="8"/>
    <x v="1"/>
    <n v="69"/>
  </r>
  <r>
    <s v="806ac7bd-badb-4820-9b30-b728e9a75de7"/>
    <s v="Jessica Cox"/>
    <d v="1931-10-19T00:00:00"/>
    <x v="1"/>
    <x v="14"/>
    <s v="Lifestyle Changes"/>
    <s v="Follow-up in two weeks to monitor blood pressure."/>
    <d v="2022-11-11T00:00:00"/>
    <d v="2022-11-28T00:00:00"/>
    <n v="4122.78"/>
    <n v="17"/>
    <x v="3"/>
    <x v="0"/>
    <n v="91"/>
  </r>
  <r>
    <s v="ab3ce33a-bea6-408d-9b4a-b315cca973f7"/>
    <s v="Johnathan Richard"/>
    <d v="1983-07-11T00:00:00"/>
    <x v="1"/>
    <x v="17"/>
    <s v="Inhalers"/>
    <s v="Advised to avoid known asthma triggers."/>
    <d v="2024-04-14T00:00:00"/>
    <d v="2024-04-26T00:00:00"/>
    <n v="4107.13"/>
    <n v="12"/>
    <x v="9"/>
    <x v="3"/>
    <n v="40"/>
  </r>
  <r>
    <s v="e92e88b4-c3d6-486f-a683-68f0658bdd20"/>
    <s v="Courtney Jacobs"/>
    <d v="1973-09-23T00:00:00"/>
    <x v="0"/>
    <x v="14"/>
    <s v="Lifestyle Changes"/>
    <s v="Follow-up in two weeks to monitor blood pressure."/>
    <d v="2023-10-12T00:00:00"/>
    <d v="2023-10-29T00:00:00"/>
    <n v="4097.92"/>
    <n v="17"/>
    <x v="8"/>
    <x v="1"/>
    <n v="50"/>
  </r>
  <r>
    <s v="adc772f9-8a5f-4bed-a333-5195c725c129"/>
    <s v="Dr. Kristina Blake"/>
    <d v="1995-10-01T00:00:00"/>
    <x v="0"/>
    <x v="14"/>
    <s v="Medication"/>
    <s v="Follow-up in two weeks to monitor blood pressure."/>
    <d v="2022-08-23T00:00:00"/>
    <d v="2022-09-09T00:00:00"/>
    <n v="4097.88"/>
    <n v="17"/>
    <x v="7"/>
    <x v="0"/>
    <n v="26"/>
  </r>
  <r>
    <s v="674f5f47-1196-4e3b-98ed-bf8f1eb5726a"/>
    <s v="Michelle Martin"/>
    <d v="1973-06-20T00:00:00"/>
    <x v="1"/>
    <x v="11"/>
    <s v="Physical Therapy"/>
    <s v="Discussed surgical options for complex fracture."/>
    <d v="2021-12-18T00:00:00"/>
    <d v="2022-01-16T00:00:00"/>
    <n v="4090.35"/>
    <n v="29"/>
    <x v="0"/>
    <x v="2"/>
    <n v="48"/>
  </r>
  <r>
    <s v="7541f657-43d7-4554-b26f-c030243dd01e"/>
    <s v="Craig Sanchez"/>
    <d v="1991-01-10T00:00:00"/>
    <x v="0"/>
    <x v="16"/>
    <s v="Therapy"/>
    <s v="Prescribed antidepressant medication."/>
    <d v="2022-08-16T00:00:00"/>
    <d v="2022-09-02T00:00:00"/>
    <n v="4081.83"/>
    <n v="17"/>
    <x v="7"/>
    <x v="0"/>
    <n v="31"/>
  </r>
  <r>
    <s v="def0d02f-a8b0-494a-98ec-66dba71b8070"/>
    <s v="Michael Williams"/>
    <d v="1986-09-09T00:00:00"/>
    <x v="1"/>
    <x v="17"/>
    <s v="Inhalers"/>
    <s v="Prescribed bronchodilator for immediate relief."/>
    <d v="2023-11-08T00:00:00"/>
    <d v="2023-11-15T00:00:00"/>
    <n v="4079.22"/>
    <n v="7"/>
    <x v="3"/>
    <x v="1"/>
    <n v="37"/>
  </r>
  <r>
    <s v="039968d9-3301-4020-b8aa-eb8d12e6fb65"/>
    <s v="Mark Williams"/>
    <d v="1958-07-11T00:00:00"/>
    <x v="0"/>
    <x v="11"/>
    <s v="Casting"/>
    <s v="Fracture immobilized with casting."/>
    <d v="2023-01-26T00:00:00"/>
    <d v="2023-02-18T00:00:00"/>
    <n v="4075.79"/>
    <n v="23"/>
    <x v="1"/>
    <x v="1"/>
    <n v="64"/>
  </r>
  <r>
    <s v="764bac43-1f54-4076-a5f2-ce82d46aef92"/>
    <s v="Stacy Johnson"/>
    <d v="1965-04-25T00:00:00"/>
    <x v="0"/>
    <x v="15"/>
    <s v="Anxiolytics"/>
    <s v="Discussed stress management techniques."/>
    <d v="2023-05-03T00:00:00"/>
    <d v="2023-05-09T00:00:00"/>
    <n v="4063"/>
    <n v="6"/>
    <x v="5"/>
    <x v="1"/>
    <n v="58"/>
  </r>
  <r>
    <s v="f4e9705d-31c4-42c7-bb0d-9dae8b56ee35"/>
    <s v="David Malone"/>
    <d v="2006-12-18T00:00:00"/>
    <x v="1"/>
    <x v="12"/>
    <s v="Physical Therapy"/>
    <s v="Prescribed anti-inflammatory medication."/>
    <d v="2022-08-05T00:00:00"/>
    <d v="2022-08-20T00:00:00"/>
    <n v="4046.71"/>
    <n v="15"/>
    <x v="7"/>
    <x v="0"/>
    <n v="15"/>
  </r>
  <r>
    <s v="bb13c2a3-ac1c-40ee-8e3f-34b4281ec460"/>
    <s v="Janet Pope DDS"/>
    <d v="1949-12-25T00:00:00"/>
    <x v="0"/>
    <x v="14"/>
    <s v="Medication"/>
    <s v="Advised to reduce salt intake and increase physical activity."/>
    <d v="2022-10-12T00:00:00"/>
    <d v="2022-10-21T00:00:00"/>
    <n v="4043.93"/>
    <n v="9"/>
    <x v="8"/>
    <x v="0"/>
    <n v="72"/>
  </r>
  <r>
    <s v="126f582a-9cef-45bf-9f94-bf08f6c760ce"/>
    <s v="Janet Reed"/>
    <d v="2009-06-18T00:00:00"/>
    <x v="0"/>
    <x v="15"/>
    <s v="Cognitive Behavioral Therapy"/>
    <s v="Discussed stress management techniques."/>
    <d v="2021-09-20T00:00:00"/>
    <d v="2021-09-30T00:00:00"/>
    <n v="4039.92"/>
    <n v="10"/>
    <x v="6"/>
    <x v="2"/>
    <n v="12"/>
  </r>
  <r>
    <s v="3507c0ea-dff5-42b8-8525-486148ade440"/>
    <s v="Kelly Guerra"/>
    <d v="2007-01-13T00:00:00"/>
    <x v="0"/>
    <x v="16"/>
    <s v="Antidepressants"/>
    <s v="Referred to therapy for additional support."/>
    <d v="2024-06-25T00:00:00"/>
    <d v="2024-07-02T00:00:00"/>
    <n v="4025.97"/>
    <n v="7"/>
    <x v="4"/>
    <x v="3"/>
    <n v="17"/>
  </r>
  <r>
    <s v="c906d8af-c984-4eb6-96de-9d814f1b3659"/>
    <s v="Jay Rice"/>
    <d v="1990-01-01T00:00:00"/>
    <x v="0"/>
    <x v="14"/>
    <s v="Medication"/>
    <s v="Patient started on antihypertensive medication."/>
    <d v="2022-07-30T00:00:00"/>
    <d v="2022-08-28T00:00:00"/>
    <n v="4000.32"/>
    <n v="29"/>
    <x v="2"/>
    <x v="0"/>
    <n v="32"/>
  </r>
  <r>
    <s v="3588db0e-461b-4d8b-87b9-2f95745808ed"/>
    <s v="Cody Gay"/>
    <d v="1953-08-22T00:00:00"/>
    <x v="0"/>
    <x v="14"/>
    <s v="Lifestyle Changes"/>
    <s v="Patient started on antihypertensive medication."/>
    <d v="2023-11-05T00:00:00"/>
    <d v="2023-11-27T00:00:00"/>
    <n v="3991.94"/>
    <n v="22"/>
    <x v="3"/>
    <x v="1"/>
    <n v="70"/>
  </r>
  <r>
    <s v="dafdb765-d24b-4a9f-9fef-9c1fa44cd8b5"/>
    <s v="Christy Gomez"/>
    <d v="1987-10-03T00:00:00"/>
    <x v="1"/>
    <x v="14"/>
    <s v="Lifestyle Changes"/>
    <s v="Advised to reduce salt intake and increase physical activity."/>
    <d v="2023-08-21T00:00:00"/>
    <d v="2023-08-24T00:00:00"/>
    <n v="3983.04"/>
    <n v="3"/>
    <x v="7"/>
    <x v="1"/>
    <n v="35"/>
  </r>
  <r>
    <s v="44f7f36e-03e7-4d6c-9f44-cf2d01b93ebb"/>
    <s v="Wayne Mendoza"/>
    <d v="2016-04-17T00:00:00"/>
    <x v="1"/>
    <x v="15"/>
    <s v="Anxiolytics"/>
    <s v="Discussed stress management techniques."/>
    <d v="2023-03-25T00:00:00"/>
    <d v="2023-04-04T00:00:00"/>
    <n v="3981.69"/>
    <n v="10"/>
    <x v="10"/>
    <x v="1"/>
    <n v="6"/>
  </r>
  <r>
    <s v="46193c74-4c99-480a-bcd3-f5df59fb6fbd"/>
    <s v="Hannah Maynard"/>
    <d v="2016-04-26T00:00:00"/>
    <x v="0"/>
    <x v="10"/>
    <s v="Surgery"/>
    <s v="Discussed surgical options for refractory epilepsy."/>
    <d v="2023-11-21T00:00:00"/>
    <d v="2023-11-29T00:00:00"/>
    <n v="3911.74"/>
    <n v="8"/>
    <x v="3"/>
    <x v="1"/>
    <n v="7"/>
  </r>
  <r>
    <s v="3b9f181c-1b33-4578-ab13-3f574d0c7eda"/>
    <s v="Ashley Russell"/>
    <d v="1959-06-01T00:00:00"/>
    <x v="1"/>
    <x v="11"/>
    <s v="Surgery"/>
    <s v="Discussed surgical options for complex fracture."/>
    <d v="2022-03-07T00:00:00"/>
    <d v="2022-03-28T00:00:00"/>
    <n v="3908.72"/>
    <n v="21"/>
    <x v="10"/>
    <x v="0"/>
    <n v="62"/>
  </r>
  <r>
    <s v="d38e1c48-a10a-4c5d-b046-24fa1506c726"/>
    <s v="Erika Fox"/>
    <d v="1958-02-12T00:00:00"/>
    <x v="0"/>
    <x v="13"/>
    <s v="Medication"/>
    <s v="Insulin therapy initiated; patient instructed on usage."/>
    <d v="2022-11-27T00:00:00"/>
    <d v="2022-12-10T00:00:00"/>
    <n v="3872.95"/>
    <n v="13"/>
    <x v="3"/>
    <x v="0"/>
    <n v="64"/>
  </r>
  <r>
    <s v="ac66d549-f939-4469-ac73-5a94869d96c8"/>
    <s v="Tina Rivera"/>
    <d v="1942-04-12T00:00:00"/>
    <x v="1"/>
    <x v="17"/>
    <s v="Medication"/>
    <s v="Prescribed bronchodilator for immediate relief."/>
    <d v="2022-06-23T00:00:00"/>
    <d v="2022-07-13T00:00:00"/>
    <n v="3834.43"/>
    <n v="20"/>
    <x v="4"/>
    <x v="0"/>
    <n v="80"/>
  </r>
  <r>
    <s v="b689b4b7-04a2-4620-9940-5010dbd52aac"/>
    <s v="Paul Berg"/>
    <d v="1996-06-15T00:00:00"/>
    <x v="0"/>
    <x v="15"/>
    <s v="Cognitive Behavioral Therapy"/>
    <s v="Prescribed anxiolytic medication for symptom control."/>
    <d v="2021-07-23T00:00:00"/>
    <d v="2021-07-25T00:00:00"/>
    <n v="3799.87"/>
    <n v="2"/>
    <x v="2"/>
    <x v="2"/>
    <n v="25"/>
  </r>
  <r>
    <s v="1e2c30d6-9193-40d7-9dfe-fa3a509fe1c3"/>
    <s v="Christina West"/>
    <d v="1926-12-14T00:00:00"/>
    <x v="1"/>
    <x v="17"/>
    <s v="Inhalers"/>
    <s v="Patient instructed on proper inhaler technique."/>
    <d v="2023-04-27T00:00:00"/>
    <d v="2023-05-23T00:00:00"/>
    <n v="3769.91"/>
    <n v="26"/>
    <x v="9"/>
    <x v="1"/>
    <n v="96"/>
  </r>
  <r>
    <s v="73c5444f-389d-487d-a88b-d73905e1c0d3"/>
    <s v="Matthew Rodriguez"/>
    <d v="1985-09-13T00:00:00"/>
    <x v="1"/>
    <x v="10"/>
    <s v="Medication"/>
    <s v="Antiepileptic medication prescribed; monitor for side effects."/>
    <d v="2023-12-30T00:00:00"/>
    <d v="2024-01-12T00:00:00"/>
    <n v="3693.85"/>
    <n v="13"/>
    <x v="0"/>
    <x v="1"/>
    <n v="38"/>
  </r>
  <r>
    <s v="80c11ef1-294d-4ac8-9a68-b2a62827df3e"/>
    <s v="Elaine Jones"/>
    <d v="1955-12-17T00:00:00"/>
    <x v="0"/>
    <x v="17"/>
    <s v="Inhalers"/>
    <s v="Advised to avoid known asthma triggers."/>
    <d v="2024-04-10T00:00:00"/>
    <d v="2024-04-12T00:00:00"/>
    <n v="3686.05"/>
    <n v="2"/>
    <x v="9"/>
    <x v="3"/>
    <n v="68"/>
  </r>
  <r>
    <s v="ed0ed882-50cf-4ac0-b325-215c05ecb9b2"/>
    <s v="Joyce Cobb"/>
    <d v="1943-12-27T00:00:00"/>
    <x v="0"/>
    <x v="11"/>
    <s v="Physical Therapy"/>
    <s v="Discussed surgical options for complex fracture."/>
    <d v="2022-07-30T00:00:00"/>
    <d v="2022-08-22T00:00:00"/>
    <n v="3685.88"/>
    <n v="23"/>
    <x v="2"/>
    <x v="0"/>
    <n v="78"/>
  </r>
  <r>
    <s v="2d81b5e6-5af6-4552-9a4d-8f369434f864"/>
    <s v="Jack Johnson"/>
    <d v="1929-08-23T00:00:00"/>
    <x v="1"/>
    <x v="15"/>
    <s v="Cognitive Behavioral Therapy"/>
    <s v="Discussed stress management techniques."/>
    <d v="2024-06-24T00:00:00"/>
    <d v="2024-06-28T00:00:00"/>
    <n v="3618.68"/>
    <n v="4"/>
    <x v="4"/>
    <x v="3"/>
    <n v="94"/>
  </r>
  <r>
    <s v="b48b0e44-f908-44fd-ba12-3ad1a2304e0b"/>
    <s v="Brandy Oconnor"/>
    <d v="1968-10-05T00:00:00"/>
    <x v="0"/>
    <x v="17"/>
    <s v="Medication"/>
    <s v="Prescribed bronchodilator for immediate relief."/>
    <d v="2021-11-17T00:00:00"/>
    <d v="2021-12-13T00:00:00"/>
    <n v="3591.87"/>
    <n v="26"/>
    <x v="3"/>
    <x v="2"/>
    <n v="53"/>
  </r>
  <r>
    <s v="0525af66-74e9-45a5-b1e4-e86cf85e549d"/>
    <s v="Christopher Sanchez"/>
    <d v="2003-10-25T00:00:00"/>
    <x v="1"/>
    <x v="17"/>
    <s v="Medication"/>
    <s v="Prescribed bronchodilator for immediate relief."/>
    <d v="2021-11-29T00:00:00"/>
    <d v="2021-12-25T00:00:00"/>
    <n v="3563.84"/>
    <n v="26"/>
    <x v="3"/>
    <x v="2"/>
    <n v="18"/>
  </r>
  <r>
    <s v="13cd3337-57ea-425b-8ff1-0ff7faf1d73b"/>
    <s v="Briana Lucas"/>
    <d v="1980-01-17T00:00:00"/>
    <x v="0"/>
    <x v="14"/>
    <s v="Medication"/>
    <s v="Follow-up in two weeks to monitor blood pressure."/>
    <d v="2021-11-22T00:00:00"/>
    <d v="2021-11-25T00:00:00"/>
    <n v="3519.02"/>
    <n v="3"/>
    <x v="3"/>
    <x v="2"/>
    <n v="41"/>
  </r>
  <r>
    <s v="b1e47d2b-c783-4fa0-bde3-4ae86619b791"/>
    <s v="Donald Martinez"/>
    <d v="1934-09-16T00:00:00"/>
    <x v="0"/>
    <x v="13"/>
    <s v="Medication"/>
    <s v="Patient advised to monitor blood sugar levels regularly."/>
    <d v="2023-05-11T00:00:00"/>
    <d v="2023-05-12T00:00:00"/>
    <n v="3486.71"/>
    <n v="1"/>
    <x v="5"/>
    <x v="1"/>
    <n v="88"/>
  </r>
  <r>
    <s v="a65381a8-e925-4ebd-8859-9369011f32c6"/>
    <s v="Jamie Lozano"/>
    <d v="1944-06-12T00:00:00"/>
    <x v="1"/>
    <x v="17"/>
    <s v="Inhalers"/>
    <s v="Prescribed bronchodilator for immediate relief."/>
    <d v="2022-03-22T00:00:00"/>
    <d v="2022-04-13T00:00:00"/>
    <n v="3438.59"/>
    <n v="22"/>
    <x v="10"/>
    <x v="0"/>
    <n v="77"/>
  </r>
  <r>
    <s v="2bae588e-b82c-41dd-a28c-94c836eb42bc"/>
    <s v="Bernard Monroe"/>
    <d v="2006-09-24T00:00:00"/>
    <x v="1"/>
    <x v="15"/>
    <s v="Anxiolytics"/>
    <s v="Discussed stress management techniques."/>
    <d v="2022-12-11T00:00:00"/>
    <d v="2022-12-27T00:00:00"/>
    <n v="3427.3"/>
    <n v="16"/>
    <x v="0"/>
    <x v="0"/>
    <n v="16"/>
  </r>
  <r>
    <s v="f2a3a4c1-bf0b-4d8b-8a14-ed901bde36ca"/>
    <s v="Laura Washington"/>
    <d v="1947-07-23T00:00:00"/>
    <x v="1"/>
    <x v="15"/>
    <s v="Anxiolytics"/>
    <s v="Referred to cognitive behavioral therapy."/>
    <d v="2022-09-11T00:00:00"/>
    <d v="2022-10-11T00:00:00"/>
    <n v="3417.84"/>
    <n v="30"/>
    <x v="6"/>
    <x v="0"/>
    <n v="75"/>
  </r>
  <r>
    <s v="294df0d7-1f54-4d18-b637-976a979d6b7c"/>
    <s v="Natalie Gamble"/>
    <d v="1940-10-09T00:00:00"/>
    <x v="0"/>
    <x v="15"/>
    <s v="Anxiolytics"/>
    <s v="Prescribed anxiolytic medication for symptom control."/>
    <d v="2022-05-14T00:00:00"/>
    <d v="2022-06-01T00:00:00"/>
    <n v="3400.4"/>
    <n v="18"/>
    <x v="5"/>
    <x v="0"/>
    <n v="81"/>
  </r>
  <r>
    <s v="3c60a379-7c7c-43fa-9e1b-7f6f48d4cb61"/>
    <s v="Kenneth Sampson"/>
    <d v="1930-04-25T00:00:00"/>
    <x v="1"/>
    <x v="15"/>
    <s v="Cognitive Behavioral Therapy"/>
    <s v="Discussed stress management techniques."/>
    <d v="2024-04-12T00:00:00"/>
    <d v="2024-04-22T00:00:00"/>
    <n v="3374.54"/>
    <n v="10"/>
    <x v="9"/>
    <x v="3"/>
    <n v="93"/>
  </r>
  <r>
    <s v="faccc8d5-1f7c-4310-9fc5-cd22d38ad475"/>
    <s v="Travis Castillo"/>
    <d v="2010-05-08T00:00:00"/>
    <x v="0"/>
    <x v="13"/>
    <s v="Insulin Therapy"/>
    <s v="Insulin therapy initiated; patient instructed on usage."/>
    <d v="2021-07-30T00:00:00"/>
    <d v="2021-08-02T00:00:00"/>
    <n v="3337.91"/>
    <n v="3"/>
    <x v="2"/>
    <x v="2"/>
    <n v="11"/>
  </r>
  <r>
    <s v="10a1515a-acd7-4ae9-8cc2-af3ad8dcf61f"/>
    <s v="Cameron Kramer"/>
    <d v="1952-11-22T00:00:00"/>
    <x v="1"/>
    <x v="12"/>
    <s v="Medication"/>
    <s v="Referred to physical therapy for joint strengthening exercises."/>
    <d v="2023-05-13T00:00:00"/>
    <d v="2023-05-18T00:00:00"/>
    <n v="3320.98"/>
    <n v="5"/>
    <x v="5"/>
    <x v="1"/>
    <n v="70"/>
  </r>
  <r>
    <s v="7c494f94-973e-4e59-8c1d-e04c863d379c"/>
    <s v="Colleen Miles"/>
    <d v="1955-11-22T00:00:00"/>
    <x v="0"/>
    <x v="15"/>
    <s v="Cognitive Behavioral Therapy"/>
    <s v="Prescribed anxiolytic medication for symptom control."/>
    <d v="2023-01-15T00:00:00"/>
    <d v="2023-01-22T00:00:00"/>
    <n v="3320.45"/>
    <n v="7"/>
    <x v="1"/>
    <x v="1"/>
    <n v="67"/>
  </r>
  <r>
    <s v="a6dffaa0-ec2f-4bdd-883a-822a44f7109a"/>
    <s v="Gregg Garcia"/>
    <d v="1962-12-28T00:00:00"/>
    <x v="1"/>
    <x v="16"/>
    <s v="Antidepressants"/>
    <s v="Referred to therapy for additional support."/>
    <d v="2021-12-01T00:00:00"/>
    <d v="2021-12-30T00:00:00"/>
    <n v="3292.87"/>
    <n v="29"/>
    <x v="0"/>
    <x v="2"/>
    <n v="58"/>
  </r>
  <r>
    <s v="743b1be0-9bfd-4d3b-b18c-96721caa14bc"/>
    <s v="Nathan Phillips"/>
    <d v="1975-10-03T00:00:00"/>
    <x v="0"/>
    <x v="12"/>
    <s v="Physical Therapy"/>
    <s v="Prescribed anti-inflammatory medication."/>
    <d v="2022-08-09T00:00:00"/>
    <d v="2022-08-16T00:00:00"/>
    <n v="3260.91"/>
    <n v="7"/>
    <x v="7"/>
    <x v="0"/>
    <n v="46"/>
  </r>
  <r>
    <s v="0f7d6a22-66b1-4674-a890-64e2086978ed"/>
    <s v="Shaun Jones"/>
    <d v="1948-06-04T00:00:00"/>
    <x v="0"/>
    <x v="11"/>
    <s v="Physical Therapy"/>
    <s v="Referred to physical therapy for rehabilitation."/>
    <d v="2022-05-14T00:00:00"/>
    <d v="2022-05-30T00:00:00"/>
    <n v="3252.5"/>
    <n v="16"/>
    <x v="5"/>
    <x v="0"/>
    <n v="73"/>
  </r>
  <r>
    <s v="5413ab4f-6e8d-4c12-a3fc-ac28071cedbc"/>
    <s v="Katherine Martin"/>
    <d v="1966-12-10T00:00:00"/>
    <x v="0"/>
    <x v="11"/>
    <s v="Physical Therapy"/>
    <s v="Discussed surgical options for complex fracture."/>
    <d v="2024-05-06T00:00:00"/>
    <d v="2024-05-08T00:00:00"/>
    <n v="3202.45"/>
    <n v="2"/>
    <x v="5"/>
    <x v="3"/>
    <n v="57"/>
  </r>
  <r>
    <s v="b6fbf853-4512-4818-954c-a80fa7ad9878"/>
    <s v="Margaret Myers"/>
    <d v="1954-03-28T00:00:00"/>
    <x v="1"/>
    <x v="15"/>
    <s v="Anxiolytics"/>
    <s v="Referred to cognitive behavioral therapy."/>
    <d v="2022-12-15T00:00:00"/>
    <d v="2023-01-13T00:00:00"/>
    <n v="3165.19"/>
    <n v="29"/>
    <x v="0"/>
    <x v="0"/>
    <n v="68"/>
  </r>
  <r>
    <s v="e5d021f6-4cd5-4ddb-b5fe-30be9d1213f3"/>
    <s v="Barbara Dominguez"/>
    <d v="1965-07-27T00:00:00"/>
    <x v="1"/>
    <x v="17"/>
    <s v="Medication"/>
    <s v="Advised to avoid known asthma triggers."/>
    <d v="2022-02-06T00:00:00"/>
    <d v="2022-03-02T00:00:00"/>
    <n v="3159.35"/>
    <n v="24"/>
    <x v="11"/>
    <x v="0"/>
    <n v="56"/>
  </r>
  <r>
    <s v="10c3bcac-4d76-41e7-8587-da1ce7550ac1"/>
    <s v="Travis Davis"/>
    <d v="1925-02-12T00:00:00"/>
    <x v="0"/>
    <x v="10"/>
    <s v="Surgery"/>
    <s v="Advised to maintain a seizure diary."/>
    <d v="2024-02-17T00:00:00"/>
    <d v="2024-02-29T00:00:00"/>
    <n v="3150.23"/>
    <n v="12"/>
    <x v="11"/>
    <x v="3"/>
    <n v="99"/>
  </r>
  <r>
    <s v="8099ec65-a885-4acb-b3f7-9b864bb52aed"/>
    <s v="James Nelson"/>
    <d v="1970-08-29T00:00:00"/>
    <x v="1"/>
    <x v="17"/>
    <s v="Medication"/>
    <s v="Prescribed bronchodilator for immediate relief."/>
    <d v="2024-03-29T00:00:00"/>
    <d v="2024-04-02T00:00:00"/>
    <n v="3114.85"/>
    <n v="4"/>
    <x v="10"/>
    <x v="3"/>
    <n v="53"/>
  </r>
  <r>
    <s v="aa5989f1-0261-4bd6-8b4d-2aecd468c0de"/>
    <s v="Dr. Marissa Nolan"/>
    <d v="1956-02-04T00:00:00"/>
    <x v="1"/>
    <x v="12"/>
    <s v="Physical Therapy"/>
    <s v="Referred to physical therapy for joint strengthening exercises."/>
    <d v="2023-08-31T00:00:00"/>
    <d v="2023-09-08T00:00:00"/>
    <n v="3105.85"/>
    <n v="8"/>
    <x v="7"/>
    <x v="1"/>
    <n v="67"/>
  </r>
  <r>
    <s v="deaa5702-3ea9-4a34-b7e1-b2645258e36f"/>
    <s v="Paul Lopez"/>
    <d v="1944-10-22T00:00:00"/>
    <x v="0"/>
    <x v="17"/>
    <s v="Inhalers"/>
    <s v="Advised to avoid known asthma triggers."/>
    <d v="2023-06-16T00:00:00"/>
    <d v="2023-07-13T00:00:00"/>
    <n v="3100.48"/>
    <n v="27"/>
    <x v="4"/>
    <x v="1"/>
    <n v="78"/>
  </r>
  <r>
    <s v="de303dfb-1cf3-4950-9f0e-5316a2633efc"/>
    <s v="Jeffrey Winters"/>
    <d v="2015-12-10T00:00:00"/>
    <x v="1"/>
    <x v="14"/>
    <s v="Lifestyle Changes"/>
    <s v="Patient started on antihypertensive medication."/>
    <d v="2022-04-20T00:00:00"/>
    <d v="2022-04-25T00:00:00"/>
    <n v="3090.77"/>
    <n v="5"/>
    <x v="9"/>
    <x v="0"/>
    <n v="6"/>
  </r>
  <r>
    <s v="10d5bb00-cc18-4654-888e-cc8dfbaa8e3b"/>
    <s v="Olivia Sexton"/>
    <d v="1952-11-09T00:00:00"/>
    <x v="0"/>
    <x v="17"/>
    <s v="Medication"/>
    <s v="Advised to avoid known asthma triggers."/>
    <d v="2022-03-01T00:00:00"/>
    <d v="2022-03-08T00:00:00"/>
    <n v="3074.27"/>
    <n v="7"/>
    <x v="10"/>
    <x v="0"/>
    <n v="69"/>
  </r>
  <r>
    <s v="7462229a-4859-42f1-893a-f33c15409062"/>
    <s v="Benjamin Frazier"/>
    <d v="2003-02-25T00:00:00"/>
    <x v="0"/>
    <x v="17"/>
    <s v="Inhalers"/>
    <s v="Advised to avoid known asthma triggers."/>
    <d v="2022-05-14T00:00:00"/>
    <d v="2022-06-13T00:00:00"/>
    <n v="3071.12"/>
    <n v="30"/>
    <x v="5"/>
    <x v="0"/>
    <n v="19"/>
  </r>
  <r>
    <s v="2fabaa47-fe5e-4f95-bce0-d4a2f7696623"/>
    <s v="Shannon Myers"/>
    <d v="1986-05-06T00:00:00"/>
    <x v="0"/>
    <x v="16"/>
    <s v="Antidepressants"/>
    <s v="Prescribed antidepressant medication."/>
    <d v="2022-06-07T00:00:00"/>
    <d v="2022-06-13T00:00:00"/>
    <n v="3049.78"/>
    <n v="6"/>
    <x v="4"/>
    <x v="0"/>
    <n v="36"/>
  </r>
  <r>
    <s v="f4a8657f-196b-4856-b774-d99eb27a19c9"/>
    <s v="Christina Jones"/>
    <d v="1968-07-30T00:00:00"/>
    <x v="1"/>
    <x v="16"/>
    <s v="Antidepressants"/>
    <s v="Prescribed antidepressant medication."/>
    <d v="2022-10-23T00:00:00"/>
    <d v="2022-11-03T00:00:00"/>
    <n v="3035.9"/>
    <n v="11"/>
    <x v="8"/>
    <x v="0"/>
    <n v="54"/>
  </r>
  <r>
    <s v="f06abaf6-5ac5-4ce1-84cb-fa0a6f0c74d6"/>
    <s v="John Campbell"/>
    <d v="2001-06-16T00:00:00"/>
    <x v="0"/>
    <x v="10"/>
    <s v="Medication"/>
    <s v="Advised to maintain a seizure diary."/>
    <d v="2021-09-23T00:00:00"/>
    <d v="2021-10-06T00:00:00"/>
    <n v="3010.52"/>
    <n v="13"/>
    <x v="6"/>
    <x v="2"/>
    <n v="20"/>
  </r>
  <r>
    <s v="12bbac23-34d8-4f51-9373-345d8b306213"/>
    <s v="Lindsey Cruz"/>
    <d v="1952-05-30T00:00:00"/>
    <x v="1"/>
    <x v="18"/>
    <s v="Rest"/>
    <s v="Prescribed antiviral medication; start immediately."/>
    <d v="2023-09-14T00:00:00"/>
    <d v="2023-10-08T00:00:00"/>
    <n v="2979.77"/>
    <n v="24"/>
    <x v="6"/>
    <x v="1"/>
    <n v="71"/>
  </r>
  <r>
    <s v="90b0a72c-ca26-4872-a6c2-afa1c3a63a34"/>
    <s v="Sheila Gonzales"/>
    <d v="1957-01-15T00:00:00"/>
    <x v="0"/>
    <x v="19"/>
    <s v="Antibiotics"/>
    <s v="Advised on steam inhalation for symptom relief."/>
    <d v="2022-01-11T00:00:00"/>
    <d v="2022-01-17T00:00:00"/>
    <n v="2979.37"/>
    <n v="6"/>
    <x v="1"/>
    <x v="0"/>
    <n v="64"/>
  </r>
  <r>
    <s v="0bfc5117-a75d-4d64-88c9-9146bd08f0fc"/>
    <s v="Jordan Padilla"/>
    <d v="1985-05-26T00:00:00"/>
    <x v="1"/>
    <x v="17"/>
    <s v="Medication"/>
    <s v="Advised to avoid known asthma triggers."/>
    <d v="2022-09-26T00:00:00"/>
    <d v="2022-09-27T00:00:00"/>
    <n v="2975.42"/>
    <n v="1"/>
    <x v="6"/>
    <x v="0"/>
    <n v="37"/>
  </r>
  <r>
    <s v="05908b7c-af35-4500-b3b2-017b88a2cc1c"/>
    <s v="Derrick Martinez"/>
    <d v="1972-07-26T00:00:00"/>
    <x v="0"/>
    <x v="20"/>
    <s v="Topical Creams"/>
    <s v="Prescribed pain relief medication."/>
    <d v="2022-02-12T00:00:00"/>
    <d v="2022-03-09T00:00:00"/>
    <n v="2968.97"/>
    <n v="25"/>
    <x v="11"/>
    <x v="0"/>
    <n v="49"/>
  </r>
  <r>
    <s v="acd535df-6cd7-4782-a628-5fa271bc595e"/>
    <s v="Christopher Olson"/>
    <d v="1954-05-29T00:00:00"/>
    <x v="1"/>
    <x v="11"/>
    <s v="Casting"/>
    <s v="Referred to physical therapy for rehabilitation."/>
    <d v="2024-03-06T00:00:00"/>
    <d v="2024-03-11T00:00:00"/>
    <n v="2962.99"/>
    <n v="5"/>
    <x v="10"/>
    <x v="3"/>
    <n v="69"/>
  </r>
  <r>
    <s v="07360377-b987-41e6-bb63-e24e5e3d8359"/>
    <s v="Karen Osborne"/>
    <d v="1987-10-01T00:00:00"/>
    <x v="0"/>
    <x v="16"/>
    <s v="Antidepressants"/>
    <s v="Follow-up to assess effectiveness of treatment."/>
    <d v="2021-08-04T00:00:00"/>
    <d v="2021-08-14T00:00:00"/>
    <n v="2960.11"/>
    <n v="10"/>
    <x v="7"/>
    <x v="2"/>
    <n v="33"/>
  </r>
  <r>
    <s v="40691ada-e5ac-4173-a0b2-6213a35df1fe"/>
    <s v="Jerry Nunez"/>
    <d v="1997-04-02T00:00:00"/>
    <x v="1"/>
    <x v="21"/>
    <s v="Compression"/>
    <s v="Monitor for any signs of worsening symptoms."/>
    <d v="2024-07-04T00:00:00"/>
    <d v="2024-07-10T00:00:00"/>
    <n v="2957.6"/>
    <n v="6"/>
    <x v="2"/>
    <x v="3"/>
    <n v="27"/>
  </r>
  <r>
    <s v="8886ed8d-efe5-47c6-acc1-b5d1ae399c15"/>
    <s v="Jennifer Jones"/>
    <d v="1973-11-21T00:00:00"/>
    <x v="0"/>
    <x v="22"/>
    <s v="Antibiotics"/>
    <s v="Monitor for any signs of worsening symptoms."/>
    <d v="2022-11-29T00:00:00"/>
    <d v="2022-12-18T00:00:00"/>
    <n v="2956.16"/>
    <n v="19"/>
    <x v="3"/>
    <x v="0"/>
    <n v="49"/>
  </r>
  <r>
    <s v="e0cca5c2-ac7a-46cf-a313-870019494c97"/>
    <s v="Stephen Rogers"/>
    <d v="1984-03-31T00:00:00"/>
    <x v="0"/>
    <x v="18"/>
    <s v="Antiviral Drugs"/>
    <s v="Advised rest and maintain hydration."/>
    <d v="2022-03-02T00:00:00"/>
    <d v="2022-03-24T00:00:00"/>
    <n v="2949.1"/>
    <n v="22"/>
    <x v="10"/>
    <x v="0"/>
    <n v="37"/>
  </r>
  <r>
    <s v="6c11dc28-be2c-48c8-a99f-fb7d771e5ce9"/>
    <s v="Abigail Stewart"/>
    <d v="1989-08-27T00:00:00"/>
    <x v="0"/>
    <x v="21"/>
    <s v="Rest"/>
    <s v="Monitor for any signs of worsening symptoms."/>
    <d v="2022-09-25T00:00:00"/>
    <d v="2022-09-28T00:00:00"/>
    <n v="2946.68"/>
    <n v="3"/>
    <x v="6"/>
    <x v="0"/>
    <n v="33"/>
  </r>
  <r>
    <s v="be104834-c6e4-4b1c-9bc1-c278e27a91a0"/>
    <s v="Maurice Gordon"/>
    <d v="1994-06-26T00:00:00"/>
    <x v="1"/>
    <x v="16"/>
    <s v="Antidepressants"/>
    <s v="Referred to therapy for additional support."/>
    <d v="2022-06-17T00:00:00"/>
    <d v="2022-07-08T00:00:00"/>
    <n v="2940.66"/>
    <n v="21"/>
    <x v="4"/>
    <x v="0"/>
    <n v="27"/>
  </r>
  <r>
    <s v="bee33117-8ab9-4d5c-89b2-9e5df6f1476c"/>
    <s v="Marvin Irwin"/>
    <d v="1956-09-25T00:00:00"/>
    <x v="0"/>
    <x v="23"/>
    <s v="Pain Relief Medication"/>
    <s v="Advised on lifestyle changes to reduce migraine triggers."/>
    <d v="2022-07-29T00:00:00"/>
    <d v="2022-08-19T00:00:00"/>
    <n v="2938.81"/>
    <n v="21"/>
    <x v="2"/>
    <x v="0"/>
    <n v="65"/>
  </r>
  <r>
    <s v="2cf88579-ddd0-42dd-9b98-93703694b1fb"/>
    <s v="Luke Simpson"/>
    <d v="1999-11-17T00:00:00"/>
    <x v="1"/>
    <x v="17"/>
    <s v="Medication"/>
    <s v="Patient instructed on proper inhaler technique."/>
    <d v="2023-09-19T00:00:00"/>
    <d v="2023-10-06T00:00:00"/>
    <n v="2938.48"/>
    <n v="17"/>
    <x v="6"/>
    <x v="1"/>
    <n v="23"/>
  </r>
  <r>
    <s v="2d0cc5ec-2ce6-4e92-9e0b-7751659301ef"/>
    <s v="Amber Evans"/>
    <d v="2017-04-02T00:00:00"/>
    <x v="1"/>
    <x v="18"/>
    <s v="Hydration"/>
    <s v="Advised rest and maintain hydration."/>
    <d v="2022-02-18T00:00:00"/>
    <d v="2022-03-01T00:00:00"/>
    <n v="2932.08"/>
    <n v="11"/>
    <x v="11"/>
    <x v="0"/>
    <n v="4"/>
  </r>
  <r>
    <s v="034fbbcf-61f7-4bfd-8c76-208fc27d2ba9"/>
    <s v="Jonathan Rodriguez"/>
    <d v="1969-09-20T00:00:00"/>
    <x v="1"/>
    <x v="24"/>
    <s v="Antibiotics"/>
    <s v="Monitor for any signs of worsening respiratory symptoms."/>
    <d v="2024-03-13T00:00:00"/>
    <d v="2024-04-05T00:00:00"/>
    <n v="2928.45"/>
    <n v="23"/>
    <x v="10"/>
    <x v="3"/>
    <n v="54"/>
  </r>
  <r>
    <s v="060cc082-8b71-4497-8b35-27db45c9dbab"/>
    <s v="Isaiah Alvarez"/>
    <d v="1934-12-14T00:00:00"/>
    <x v="0"/>
    <x v="15"/>
    <s v="Cognitive Behavioral Therapy"/>
    <s v="Prescribed anxiolytic medication for symptom control."/>
    <d v="2022-07-03T00:00:00"/>
    <d v="2022-07-26T00:00:00"/>
    <n v="2925.02"/>
    <n v="23"/>
    <x v="2"/>
    <x v="0"/>
    <n v="87"/>
  </r>
  <r>
    <s v="704cfc3a-69b7-4f31-a8e4-1230c711a88a"/>
    <s v="Kyle Sutton"/>
    <d v="1956-01-28T00:00:00"/>
    <x v="1"/>
    <x v="18"/>
    <s v="Rest"/>
    <s v="Advised rest and maintain hydration."/>
    <d v="2022-07-29T00:00:00"/>
    <d v="2022-08-20T00:00:00"/>
    <n v="2923.69"/>
    <n v="22"/>
    <x v="2"/>
    <x v="0"/>
    <n v="66"/>
  </r>
  <r>
    <s v="c7bd21d2-c081-4633-8994-1bf9579bc1a6"/>
    <s v="Desiree Jefferson"/>
    <d v="1996-12-31T00:00:00"/>
    <x v="0"/>
    <x v="24"/>
    <s v="Rest"/>
    <s v="Prescribed cough medicine and advised rest."/>
    <d v="2023-02-08T00:00:00"/>
    <d v="2023-02-16T00:00:00"/>
    <n v="2918.7"/>
    <n v="8"/>
    <x v="11"/>
    <x v="1"/>
    <n v="26"/>
  </r>
  <r>
    <s v="33cef9a9-2d29-4dd5-83e8-763cc77ad03f"/>
    <s v="Heather Williams"/>
    <d v="1945-05-29T00:00:00"/>
    <x v="1"/>
    <x v="22"/>
    <s v="Antibiotics"/>
    <s v="Monitor for any signs of worsening symptoms."/>
    <d v="2022-12-11T00:00:00"/>
    <d v="2022-12-15T00:00:00"/>
    <n v="2904.01"/>
    <n v="4"/>
    <x v="0"/>
    <x v="0"/>
    <n v="77"/>
  </r>
  <r>
    <s v="562beb43-1a26-46c3-937a-a99b8ee2e485"/>
    <s v="Christine Hodge"/>
    <d v="1943-08-11T00:00:00"/>
    <x v="0"/>
    <x v="19"/>
    <s v="Antibiotics"/>
    <s v="Started on antibiotics for bacterial infection."/>
    <d v="2022-07-28T00:00:00"/>
    <d v="2022-08-26T00:00:00"/>
    <n v="2901.89"/>
    <n v="29"/>
    <x v="2"/>
    <x v="0"/>
    <n v="78"/>
  </r>
  <r>
    <s v="6280078b-f482-4e34-8c13-a2171cbe41c5"/>
    <s v="Timothy Barr"/>
    <d v="1948-07-30T00:00:00"/>
    <x v="1"/>
    <x v="19"/>
    <s v="Decongestants"/>
    <s v="Prescribed decongestants to relieve sinus pressure."/>
    <d v="2023-08-09T00:00:00"/>
    <d v="2023-08-20T00:00:00"/>
    <n v="2895.43"/>
    <n v="11"/>
    <x v="7"/>
    <x v="1"/>
    <n v="75"/>
  </r>
  <r>
    <s v="ac203f00-f4f9-4f5b-bf27-4ba8657e578e"/>
    <s v="Thomas Wade"/>
    <d v="2009-04-29T00:00:00"/>
    <x v="1"/>
    <x v="16"/>
    <s v="Antidepressants"/>
    <s v="Follow-up to assess effectiveness of treatment."/>
    <d v="2024-03-07T00:00:00"/>
    <d v="2024-03-13T00:00:00"/>
    <n v="2890.43"/>
    <n v="6"/>
    <x v="10"/>
    <x v="3"/>
    <n v="14"/>
  </r>
  <r>
    <s v="03b691a7-d290-47c3-b9e6-a44ffb61f408"/>
    <s v="Andrea Cline"/>
    <d v="1939-01-13T00:00:00"/>
    <x v="0"/>
    <x v="19"/>
    <s v="Decongestants"/>
    <s v="Advised on steam inhalation for symptom relief."/>
    <d v="2023-07-03T00:00:00"/>
    <d v="2023-07-21T00:00:00"/>
    <n v="2890.07"/>
    <n v="18"/>
    <x v="2"/>
    <x v="1"/>
    <n v="84"/>
  </r>
  <r>
    <s v="46dcbc9b-e4fb-451c-a252-b13b7d7524ca"/>
    <s v="James Sosa"/>
    <d v="1966-12-06T00:00:00"/>
    <x v="0"/>
    <x v="16"/>
    <s v="Therapy"/>
    <s v="Referred to therapy for additional support."/>
    <d v="2024-02-03T00:00:00"/>
    <d v="2024-02-22T00:00:00"/>
    <n v="2886.37"/>
    <n v="19"/>
    <x v="11"/>
    <x v="3"/>
    <n v="57"/>
  </r>
  <r>
    <s v="88477085-ecfb-45c4-bb9c-11775ad9f6bc"/>
    <s v="Michael Smith"/>
    <d v="2002-09-18T00:00:00"/>
    <x v="1"/>
    <x v="20"/>
    <s v="Topical Creams"/>
    <s v="Prescribed pain relief medication."/>
    <d v="2022-12-19T00:00:00"/>
    <d v="2022-12-24T00:00:00"/>
    <n v="2881.96"/>
    <n v="5"/>
    <x v="0"/>
    <x v="0"/>
    <n v="20"/>
  </r>
  <r>
    <s v="79e3f17d-428e-42ab-9745-2f1fafe777d4"/>
    <s v="Meagan Taylor"/>
    <d v="1945-10-28T00:00:00"/>
    <x v="0"/>
    <x v="20"/>
    <s v="Topical Creams"/>
    <s v="Bandaged affected area to protect from further injury."/>
    <d v="2022-06-26T00:00:00"/>
    <d v="2022-07-22T00:00:00"/>
    <n v="2871.05"/>
    <n v="26"/>
    <x v="4"/>
    <x v="0"/>
    <n v="76"/>
  </r>
  <r>
    <s v="a5808e62-7f74-459a-bf94-d7bd8ea875ca"/>
    <s v="John Whitehead"/>
    <d v="1998-07-29T00:00:00"/>
    <x v="0"/>
    <x v="18"/>
    <s v="Rest"/>
    <s v="Advised rest and maintain hydration."/>
    <d v="2022-11-12T00:00:00"/>
    <d v="2022-11-29T00:00:00"/>
    <n v="2871.05"/>
    <n v="17"/>
    <x v="3"/>
    <x v="0"/>
    <n v="24"/>
  </r>
  <r>
    <s v="6a49943f-3b5b-4b8e-a07e-461df90def8a"/>
    <s v="Nicholas Greene"/>
    <d v="1989-08-13T00:00:00"/>
    <x v="0"/>
    <x v="17"/>
    <s v="Inhalers"/>
    <s v="Advised to avoid known asthma triggers."/>
    <d v="2023-02-01T00:00:00"/>
    <d v="2023-03-02T00:00:00"/>
    <n v="2870.48"/>
    <n v="29"/>
    <x v="11"/>
    <x v="1"/>
    <n v="33"/>
  </r>
  <r>
    <s v="2aac91d5-4873-45b7-9f9a-f6cd228c7f0a"/>
    <s v="Mrs. Casey Payne DDS"/>
    <d v="2021-10-05T00:00:00"/>
    <x v="1"/>
    <x v="23"/>
    <s v="Lifestyle Changes"/>
    <s v="Follow-up to assess effectiveness of treatment."/>
    <d v="2023-05-12T00:00:00"/>
    <d v="2023-06-03T00:00:00"/>
    <n v="2864.79"/>
    <n v="22"/>
    <x v="5"/>
    <x v="1"/>
    <n v="1"/>
  </r>
  <r>
    <s v="70fc93e3-88f6-4273-a85f-487f609b6398"/>
    <s v="Teresa House"/>
    <d v="1978-05-27T00:00:00"/>
    <x v="0"/>
    <x v="12"/>
    <s v="Medication"/>
    <s v="Advised on lifestyle modifications to reduce joint pain."/>
    <d v="2023-12-30T00:00:00"/>
    <d v="2024-01-14T00:00:00"/>
    <n v="2861.71"/>
    <n v="15"/>
    <x v="0"/>
    <x v="1"/>
    <n v="45"/>
  </r>
  <r>
    <s v="c2e72d9f-16e2-45de-9d12-c2c9cd94c84f"/>
    <s v="Cassandra Brown"/>
    <d v="1996-06-13T00:00:00"/>
    <x v="0"/>
    <x v="19"/>
    <s v="Decongestants"/>
    <s v="Prescribed decongestants to relieve sinus pressure."/>
    <d v="2022-07-22T00:00:00"/>
    <d v="2022-08-20T00:00:00"/>
    <n v="2843.93"/>
    <n v="29"/>
    <x v="2"/>
    <x v="0"/>
    <n v="26"/>
  </r>
  <r>
    <s v="59f72ab8-db52-4ed2-bf56-aeef7b0bf379"/>
    <s v="Jenna Salazar"/>
    <d v="1986-09-20T00:00:00"/>
    <x v="1"/>
    <x v="16"/>
    <s v="Antidepressants"/>
    <s v="Prescribed antidepressant medication."/>
    <d v="2023-11-20T00:00:00"/>
    <d v="2023-12-09T00:00:00"/>
    <n v="2838.86"/>
    <n v="19"/>
    <x v="3"/>
    <x v="1"/>
    <n v="37"/>
  </r>
  <r>
    <s v="b55c6ba2-abcd-4625-aee9-03f28af6bdc4"/>
    <s v="Patrick Larsen"/>
    <d v="1965-12-07T00:00:00"/>
    <x v="1"/>
    <x v="25"/>
    <s v="Rehydration Therapy"/>
    <s v="Prescribed rehydration solution and advised rest."/>
    <d v="2022-08-16T00:00:00"/>
    <d v="2022-09-15T00:00:00"/>
    <n v="2837.71"/>
    <n v="30"/>
    <x v="7"/>
    <x v="0"/>
    <n v="56"/>
  </r>
  <r>
    <s v="8eb76d24-8e4c-41ab-9111-f51f2e899ecb"/>
    <s v="Rick Gonzales"/>
    <d v="1951-08-07T00:00:00"/>
    <x v="0"/>
    <x v="24"/>
    <s v="Rest"/>
    <s v="Prescribed cough medicine and advised rest."/>
    <d v="2023-05-26T00:00:00"/>
    <d v="2023-06-03T00:00:00"/>
    <n v="2831.57"/>
    <n v="8"/>
    <x v="5"/>
    <x v="1"/>
    <n v="71"/>
  </r>
  <r>
    <s v="07e9ce02-8109-4a0c-99bc-700e1644e279"/>
    <s v="Michelle White"/>
    <d v="2015-08-21T00:00:00"/>
    <x v="1"/>
    <x v="22"/>
    <s v="Antibiotics"/>
    <s v="Monitor for any signs of worsening symptoms."/>
    <d v="2023-04-06T00:00:00"/>
    <d v="2023-04-10T00:00:00"/>
    <n v="2830.14"/>
    <n v="4"/>
    <x v="9"/>
    <x v="1"/>
    <n v="7"/>
  </r>
  <r>
    <s v="87937b87-764c-4fe8-9f84-b710e5c4aa6b"/>
    <s v="Fernando Brown"/>
    <d v="1961-07-27T00:00:00"/>
    <x v="0"/>
    <x v="19"/>
    <s v="Antibiotics"/>
    <s v="Advised on steam inhalation for symptom relief."/>
    <d v="2021-08-27T00:00:00"/>
    <d v="2021-08-31T00:00:00"/>
    <n v="2822.24"/>
    <n v="4"/>
    <x v="7"/>
    <x v="2"/>
    <n v="60"/>
  </r>
  <r>
    <s v="8e829c72-a817-4b04-b7a1-fa9a0dbd26ca"/>
    <s v="James Roman"/>
    <d v="1930-01-28T00:00:00"/>
    <x v="0"/>
    <x v="25"/>
    <s v="Medication"/>
    <s v="Symptomatic treatment for nausea and vomiting."/>
    <d v="2023-07-27T00:00:00"/>
    <d v="2023-08-18T00:00:00"/>
    <n v="2821.34"/>
    <n v="22"/>
    <x v="2"/>
    <x v="1"/>
    <n v="93"/>
  </r>
  <r>
    <s v="6a97e365-b3bb-40e1-aea0-0ceb5a091c56"/>
    <s v="Krystal Hayes"/>
    <d v="2016-10-31T00:00:00"/>
    <x v="0"/>
    <x v="22"/>
    <s v="Antibiotics"/>
    <s v="Advised increased fluid intake."/>
    <d v="2021-08-18T00:00:00"/>
    <d v="2021-09-15T00:00:00"/>
    <n v="2820.66"/>
    <n v="28"/>
    <x v="7"/>
    <x v="2"/>
    <n v="4"/>
  </r>
  <r>
    <s v="de66afea-ddc9-4e9c-8504-7a10172676df"/>
    <s v="Adam Warren"/>
    <d v="1932-10-04T00:00:00"/>
    <x v="1"/>
    <x v="20"/>
    <s v="Pain Relief"/>
    <s v="Applied topical creams to prevent infection."/>
    <d v="2022-04-01T00:00:00"/>
    <d v="2022-04-27T00:00:00"/>
    <n v="2807.08"/>
    <n v="26"/>
    <x v="9"/>
    <x v="0"/>
    <n v="89"/>
  </r>
  <r>
    <s v="6ed2077b-0fac-4b65-bf11-fe181793941c"/>
    <s v="Lauren Tucker"/>
    <d v="1966-04-05T00:00:00"/>
    <x v="1"/>
    <x v="21"/>
    <s v="Elevation"/>
    <s v="Advised RICE (Rest, Ice, Compression, Elevation) protocol."/>
    <d v="2023-07-10T00:00:00"/>
    <d v="2023-07-31T00:00:00"/>
    <n v="2805.8"/>
    <n v="21"/>
    <x v="2"/>
    <x v="1"/>
    <n v="57"/>
  </r>
  <r>
    <s v="75cb982a-a739-431e-8e22-ba2e4f9aba96"/>
    <s v="Christopher Palmer"/>
    <d v="1966-01-27T00:00:00"/>
    <x v="1"/>
    <x v="16"/>
    <s v="Antidepressants"/>
    <s v="Prescribed antidepressant medication."/>
    <d v="2021-09-23T00:00:00"/>
    <d v="2021-09-28T00:00:00"/>
    <n v="2802.46"/>
    <n v="5"/>
    <x v="6"/>
    <x v="2"/>
    <n v="55"/>
  </r>
  <r>
    <s v="d233b531-958b-45c6-a089-5c047817293f"/>
    <s v="Adrian Oneill"/>
    <d v="1982-08-12T00:00:00"/>
    <x v="1"/>
    <x v="16"/>
    <s v="Antidepressants"/>
    <s v="Prescribed antidepressant medication."/>
    <d v="2023-10-05T00:00:00"/>
    <d v="2023-10-19T00:00:00"/>
    <n v="2801.59"/>
    <n v="14"/>
    <x v="8"/>
    <x v="1"/>
    <n v="41"/>
  </r>
  <r>
    <s v="8b5450ff-ef2d-41f5-bcc1-9cc9fd210258"/>
    <s v="Eric Arnold DDS"/>
    <d v="1932-07-22T00:00:00"/>
    <x v="0"/>
    <x v="20"/>
    <s v="Bandaging"/>
    <s v="Applied topical creams to prevent infection."/>
    <d v="2022-02-13T00:00:00"/>
    <d v="2022-03-11T00:00:00"/>
    <n v="2794.2"/>
    <n v="26"/>
    <x v="11"/>
    <x v="0"/>
    <n v="89"/>
  </r>
  <r>
    <s v="8677e930-edd9-40fe-b957-252ea095b7ec"/>
    <s v="Derek Dawson"/>
    <d v="1973-04-18T00:00:00"/>
    <x v="1"/>
    <x v="14"/>
    <s v="Medication"/>
    <s v="Patient started on antihypertensive medication."/>
    <d v="2024-05-12T00:00:00"/>
    <d v="2024-06-01T00:00:00"/>
    <n v="2788.8"/>
    <n v="20"/>
    <x v="5"/>
    <x v="3"/>
    <n v="51"/>
  </r>
  <r>
    <s v="c4b76553-dc52-4283-9ca5-8ba98e98492b"/>
    <s v="Allen Thompson"/>
    <d v="1982-05-20T00:00:00"/>
    <x v="1"/>
    <x v="23"/>
    <s v="Lifestyle Changes"/>
    <s v="Prescribed medication for immediate pain relief."/>
    <d v="2021-10-09T00:00:00"/>
    <d v="2021-10-16T00:00:00"/>
    <n v="2783.14"/>
    <n v="7"/>
    <x v="8"/>
    <x v="2"/>
    <n v="39"/>
  </r>
  <r>
    <s v="52c1d2df-bc8b-4738-868d-2696af9007ca"/>
    <s v="Tammy George"/>
    <d v="1943-01-21T00:00:00"/>
    <x v="1"/>
    <x v="22"/>
    <s v="Antibiotics"/>
    <s v="Monitor for any signs of worsening symptoms."/>
    <d v="2022-09-23T00:00:00"/>
    <d v="2022-10-16T00:00:00"/>
    <n v="2782.89"/>
    <n v="23"/>
    <x v="6"/>
    <x v="0"/>
    <n v="79"/>
  </r>
  <r>
    <s v="a81a5042-e3aa-4b8a-89db-7c2bd0b8acf0"/>
    <s v="Wesley Jensen"/>
    <d v="1943-03-06T00:00:00"/>
    <x v="0"/>
    <x v="13"/>
    <s v="Insulin Therapy"/>
    <s v="Insulin therapy initiated; patient instructed on usage."/>
    <d v="2023-05-02T00:00:00"/>
    <d v="2023-05-16T00:00:00"/>
    <n v="2780.83"/>
    <n v="14"/>
    <x v="5"/>
    <x v="1"/>
    <n v="80"/>
  </r>
  <r>
    <s v="b9ae9743-405f-454c-83d5-a563bd19de35"/>
    <s v="John Reid"/>
    <d v="1966-07-06T00:00:00"/>
    <x v="1"/>
    <x v="14"/>
    <s v="Medication"/>
    <s v="Patient started on antihypertensive medication."/>
    <d v="2022-03-03T00:00:00"/>
    <d v="2022-03-21T00:00:00"/>
    <n v="2780.21"/>
    <n v="18"/>
    <x v="10"/>
    <x v="0"/>
    <n v="55"/>
  </r>
  <r>
    <s v="539c7b32-4288-432d-9373-f4a2f8d22c31"/>
    <s v="Patricia Daniel"/>
    <d v="1988-08-17T00:00:00"/>
    <x v="1"/>
    <x v="15"/>
    <s v="Cognitive Behavioral Therapy"/>
    <s v="Referred to cognitive behavioral therapy."/>
    <d v="2023-02-28T00:00:00"/>
    <d v="2023-03-17T00:00:00"/>
    <n v="2777.99"/>
    <n v="17"/>
    <x v="11"/>
    <x v="1"/>
    <n v="34"/>
  </r>
  <r>
    <s v="8d615f40-9e89-48e3-98a9-d00487f1af19"/>
    <s v="Stephanie Brown"/>
    <d v="1988-01-27T00:00:00"/>
    <x v="0"/>
    <x v="18"/>
    <s v="Antiviral Drugs"/>
    <s v="Advised rest and maintain hydration."/>
    <d v="2024-02-16T00:00:00"/>
    <d v="2024-02-26T00:00:00"/>
    <n v="2775.55"/>
    <n v="10"/>
    <x v="11"/>
    <x v="3"/>
    <n v="36"/>
  </r>
  <r>
    <s v="39049ac1-0f94-47ff-9ba1-5a1ecd7a4a89"/>
    <s v="Randall Miller"/>
    <d v="1954-06-29T00:00:00"/>
    <x v="0"/>
    <x v="23"/>
    <s v="Lifestyle Changes"/>
    <s v="Follow-up to assess effectiveness of treatment."/>
    <d v="2024-04-06T00:00:00"/>
    <d v="2024-04-11T00:00:00"/>
    <n v="2731.56"/>
    <n v="5"/>
    <x v="9"/>
    <x v="3"/>
    <n v="69"/>
  </r>
  <r>
    <s v="f798a354-56ce-4178-a4cd-b77249e64824"/>
    <s v="Carla Mckenzie"/>
    <d v="1958-11-28T00:00:00"/>
    <x v="1"/>
    <x v="25"/>
    <s v="Medication"/>
    <s v="Prescribed rehydration solution and advised rest."/>
    <d v="2021-09-21T00:00:00"/>
    <d v="2021-09-26T00:00:00"/>
    <n v="2723.7"/>
    <n v="5"/>
    <x v="6"/>
    <x v="2"/>
    <n v="62"/>
  </r>
  <r>
    <s v="47f64168-652d-4887-acd6-3dd291964f06"/>
    <s v="Carl Saunders"/>
    <d v="1970-11-05T00:00:00"/>
    <x v="1"/>
    <x v="22"/>
    <s v="Hydration"/>
    <s v="Advised increased fluid intake."/>
    <d v="2024-04-21T00:00:00"/>
    <d v="2024-05-13T00:00:00"/>
    <n v="2711.92"/>
    <n v="22"/>
    <x v="9"/>
    <x v="3"/>
    <n v="53"/>
  </r>
  <r>
    <s v="12de7918-1d1c-4c9e-b7cb-e6ab09d3bdf0"/>
    <s v="David Booker"/>
    <d v="1986-06-03T00:00:00"/>
    <x v="0"/>
    <x v="12"/>
    <s v="Physical Therapy"/>
    <s v="Referred to physical therapy for joint strengthening exercises."/>
    <d v="2022-12-04T00:00:00"/>
    <d v="2022-12-26T00:00:00"/>
    <n v="2705.2"/>
    <n v="22"/>
    <x v="0"/>
    <x v="0"/>
    <n v="36"/>
  </r>
  <r>
    <s v="4053e5bb-9cb3-49ce-8174-f49b04b5a990"/>
    <s v="Sarah Vincent"/>
    <d v="1986-12-25T00:00:00"/>
    <x v="1"/>
    <x v="21"/>
    <s v="Rest"/>
    <s v="Monitor for any signs of worsening symptoms."/>
    <d v="2024-02-12T00:00:00"/>
    <d v="2024-02-27T00:00:00"/>
    <n v="2703.13"/>
    <n v="15"/>
    <x v="11"/>
    <x v="3"/>
    <n v="37"/>
  </r>
  <r>
    <s v="e84383f4-ff3f-460e-825a-140447b916f3"/>
    <s v="Mallory Sims"/>
    <d v="2013-03-15T00:00:00"/>
    <x v="0"/>
    <x v="14"/>
    <s v="Medication"/>
    <s v="Follow-up in two weeks to monitor blood pressure."/>
    <d v="2023-11-30T00:00:00"/>
    <d v="2023-12-17T00:00:00"/>
    <n v="2694.09"/>
    <n v="17"/>
    <x v="3"/>
    <x v="1"/>
    <n v="10"/>
  </r>
  <r>
    <s v="06a7cef8-73c4-4530-a93a-61e147f13aa0"/>
    <s v="Carrie White"/>
    <d v="1980-07-09T00:00:00"/>
    <x v="0"/>
    <x v="17"/>
    <s v="Inhalers"/>
    <s v="Advised to avoid known asthma triggers."/>
    <d v="2021-07-16T00:00:00"/>
    <d v="2021-07-20T00:00:00"/>
    <n v="2691.17"/>
    <n v="4"/>
    <x v="2"/>
    <x v="2"/>
    <n v="41"/>
  </r>
  <r>
    <s v="2e59f88a-dafb-49cb-9fed-06b037259132"/>
    <s v="Leslie Wilson"/>
    <d v="1950-12-02T00:00:00"/>
    <x v="0"/>
    <x v="16"/>
    <s v="Antidepressants"/>
    <s v="Prescribed antidepressant medication."/>
    <d v="2023-04-02T00:00:00"/>
    <d v="2023-05-01T00:00:00"/>
    <n v="2682.29"/>
    <n v="29"/>
    <x v="9"/>
    <x v="1"/>
    <n v="72"/>
  </r>
  <r>
    <s v="e0cc7bfc-8dd0-4ce6-81c1-c9234942a5f0"/>
    <s v="Maurice Reese"/>
    <d v="2002-11-19T00:00:00"/>
    <x v="0"/>
    <x v="18"/>
    <s v="Antiviral Drugs"/>
    <s v="Monitor for any worsening of symptoms."/>
    <d v="2022-01-30T00:00:00"/>
    <d v="2022-02-20T00:00:00"/>
    <n v="2681.85"/>
    <n v="21"/>
    <x v="1"/>
    <x v="0"/>
    <n v="19"/>
  </r>
  <r>
    <s v="b86d25be-d118-4e34-a7fb-52e3d44d7e56"/>
    <s v="Mitchell Ellis"/>
    <d v="2019-08-25T00:00:00"/>
    <x v="0"/>
    <x v="19"/>
    <s v="Antibiotics"/>
    <s v="Prescribed decongestants to relieve sinus pressure."/>
    <d v="2024-02-19T00:00:00"/>
    <d v="2024-03-09T00:00:00"/>
    <n v="2680.41"/>
    <n v="19"/>
    <x v="11"/>
    <x v="3"/>
    <n v="4"/>
  </r>
  <r>
    <s v="dfa0fa63-93b8-4e16-8e69-01edc2076a83"/>
    <s v="Cameron Haney"/>
    <d v="2003-08-11T00:00:00"/>
    <x v="0"/>
    <x v="16"/>
    <s v="Antidepressants"/>
    <s v="Prescribed antidepressant medication."/>
    <d v="2022-12-19T00:00:00"/>
    <d v="2022-12-25T00:00:00"/>
    <n v="2678.94"/>
    <n v="6"/>
    <x v="0"/>
    <x v="0"/>
    <n v="19"/>
  </r>
  <r>
    <s v="e4d0e031-cded-4f40-8d08-d42d7736fd17"/>
    <s v="Jessica Lee"/>
    <d v="1986-02-26T00:00:00"/>
    <x v="0"/>
    <x v="16"/>
    <s v="Therapy"/>
    <s v="Referred to therapy for additional support."/>
    <d v="2023-10-29T00:00:00"/>
    <d v="2023-11-26T00:00:00"/>
    <n v="2666.35"/>
    <n v="28"/>
    <x v="8"/>
    <x v="1"/>
    <n v="37"/>
  </r>
  <r>
    <s v="95f8f10d-b073-4c1a-9626-11a4944f486c"/>
    <s v="John Stephens"/>
    <d v="1935-12-15T00:00:00"/>
    <x v="0"/>
    <x v="12"/>
    <s v="Medication"/>
    <s v="Advised on lifestyle modifications to reduce joint pain."/>
    <d v="2021-07-21T00:00:00"/>
    <d v="2021-08-04T00:00:00"/>
    <n v="2652.33"/>
    <n v="14"/>
    <x v="2"/>
    <x v="2"/>
    <n v="85"/>
  </r>
  <r>
    <s v="7411d34c-a42e-43b4-b844-7b027bd370f2"/>
    <s v="Jason Adams"/>
    <d v="1995-05-28T00:00:00"/>
    <x v="0"/>
    <x v="25"/>
    <s v="Medication"/>
    <s v="Symptomatic treatment for nausea and vomiting."/>
    <d v="2022-11-13T00:00:00"/>
    <d v="2022-11-17T00:00:00"/>
    <n v="2649.62"/>
    <n v="4"/>
    <x v="3"/>
    <x v="0"/>
    <n v="27"/>
  </r>
  <r>
    <s v="1f608dac-a1dc-4543-a9a4-c477d2ca96dc"/>
    <s v="Xavier Schneider"/>
    <d v="1967-12-10T00:00:00"/>
    <x v="0"/>
    <x v="19"/>
    <s v="Antibiotics"/>
    <s v="Advised on steam inhalation for symptom relief."/>
    <d v="2021-12-07T00:00:00"/>
    <d v="2022-01-05T00:00:00"/>
    <n v="2648.45"/>
    <n v="29"/>
    <x v="0"/>
    <x v="2"/>
    <n v="53"/>
  </r>
  <r>
    <s v="6e133629-a5f3-41c5-b50d-6a6b9430397d"/>
    <s v="Peggy Stokes"/>
    <d v="2016-03-10T00:00:00"/>
    <x v="1"/>
    <x v="21"/>
    <s v="Compression"/>
    <s v="Advised RICE (Rest, Ice, Compression, Elevation) protocol."/>
    <d v="2022-10-11T00:00:00"/>
    <d v="2022-11-03T00:00:00"/>
    <n v="2644.26"/>
    <n v="23"/>
    <x v="8"/>
    <x v="0"/>
    <n v="6"/>
  </r>
  <r>
    <s v="977c8b3d-bc80-4334-a270-13d02b5c3c97"/>
    <s v="Nicholas Gill"/>
    <d v="1997-10-29T00:00:00"/>
    <x v="0"/>
    <x v="20"/>
    <s v="Bandaging"/>
    <s v="Applied topical creams to prevent infection."/>
    <d v="2022-07-07T00:00:00"/>
    <d v="2022-07-26T00:00:00"/>
    <n v="2639.22"/>
    <n v="19"/>
    <x v="2"/>
    <x v="0"/>
    <n v="24"/>
  </r>
  <r>
    <s v="744dd4cf-9df0-45e0-b002-fdf71b3bd262"/>
    <s v="Hector Arias"/>
    <d v="2004-07-02T00:00:00"/>
    <x v="0"/>
    <x v="18"/>
    <s v="Hydration"/>
    <s v="Advised rest and maintain hydration."/>
    <d v="2023-02-12T00:00:00"/>
    <d v="2023-02-20T00:00:00"/>
    <n v="2620.6799999999998"/>
    <n v="8"/>
    <x v="11"/>
    <x v="1"/>
    <n v="18"/>
  </r>
  <r>
    <s v="9caf3002-6f42-415e-8b4d-39ee09a5b925"/>
    <s v="Robert Thornton"/>
    <d v="1999-07-19T00:00:00"/>
    <x v="0"/>
    <x v="23"/>
    <s v="Pain Relief Medication"/>
    <s v="Prescribed medication for immediate pain relief."/>
    <d v="2023-02-11T00:00:00"/>
    <d v="2023-02-13T00:00:00"/>
    <n v="2618.13"/>
    <n v="2"/>
    <x v="11"/>
    <x v="1"/>
    <n v="23"/>
  </r>
  <r>
    <s v="399c8f9f-a88c-4f94-ae8e-261e3d244731"/>
    <s v="Elizabeth Allen"/>
    <d v="1996-07-24T00:00:00"/>
    <x v="1"/>
    <x v="14"/>
    <s v="Lifestyle Changes"/>
    <s v="Advised to reduce salt intake and increase physical activity."/>
    <d v="2023-09-07T00:00:00"/>
    <d v="2023-09-22T00:00:00"/>
    <n v="2611.62"/>
    <n v="15"/>
    <x v="6"/>
    <x v="1"/>
    <n v="27"/>
  </r>
  <r>
    <s v="26a7e264-7e6f-4219-a762-7d021f81df09"/>
    <s v="Christopher Barber"/>
    <d v="2012-03-03T00:00:00"/>
    <x v="0"/>
    <x v="19"/>
    <s v="Decongestants"/>
    <s v="Advised on steam inhalation for symptom relief."/>
    <d v="2022-12-21T00:00:00"/>
    <d v="2022-12-27T00:00:00"/>
    <n v="2585.96"/>
    <n v="6"/>
    <x v="0"/>
    <x v="0"/>
    <n v="10"/>
  </r>
  <r>
    <s v="ddd7f429-34bb-4b89-9a0d-2b25cc5f1150"/>
    <s v="David Navarro"/>
    <d v="2004-01-31T00:00:00"/>
    <x v="1"/>
    <x v="17"/>
    <s v="Inhalers"/>
    <s v="Advised to avoid known asthma triggers."/>
    <d v="2022-12-04T00:00:00"/>
    <d v="2022-12-11T00:00:00"/>
    <n v="2584.96"/>
    <n v="7"/>
    <x v="0"/>
    <x v="0"/>
    <n v="18"/>
  </r>
  <r>
    <s v="6199150c-26ef-42b1-8d9b-41f09e5879f7"/>
    <s v="Ashlee Bush"/>
    <d v="2021-09-02T00:00:00"/>
    <x v="0"/>
    <x v="24"/>
    <s v="Antibiotics"/>
    <s v="Monitor for any signs of worsening respiratory symptoms."/>
    <d v="2024-03-30T00:00:00"/>
    <d v="2024-04-14T00:00:00"/>
    <n v="2584.81"/>
    <n v="15"/>
    <x v="10"/>
    <x v="3"/>
    <n v="2"/>
  </r>
  <r>
    <s v="3f7e62c8-fa87-4ec9-a5d0-4c973e1252b7"/>
    <s v="Michael Baker"/>
    <d v="1968-09-20T00:00:00"/>
    <x v="0"/>
    <x v="18"/>
    <s v="Hydration"/>
    <s v="Advised rest and maintain hydration."/>
    <d v="2023-12-17T00:00:00"/>
    <d v="2023-12-18T00:00:00"/>
    <n v="2581.7800000000002"/>
    <n v="1"/>
    <x v="0"/>
    <x v="1"/>
    <n v="55"/>
  </r>
  <r>
    <s v="1b2f8fd3-8d39-4a83-9c22-7edf1b0b619f"/>
    <s v="Christy Kim"/>
    <d v="1953-02-06T00:00:00"/>
    <x v="0"/>
    <x v="12"/>
    <s v="Physical Therapy"/>
    <s v="Referred to physical therapy for joint strengthening exercises."/>
    <d v="2023-05-17T00:00:00"/>
    <d v="2023-06-08T00:00:00"/>
    <n v="2575.8000000000002"/>
    <n v="22"/>
    <x v="5"/>
    <x v="1"/>
    <n v="70"/>
  </r>
  <r>
    <s v="1093f02a-9281-4612-af16-873ee070c8a2"/>
    <s v="Dr. Kayla Garcia"/>
    <d v="1954-11-09T00:00:00"/>
    <x v="0"/>
    <x v="21"/>
    <s v="Rest"/>
    <s v="Prescribed pain relief medication."/>
    <d v="2022-07-28T00:00:00"/>
    <d v="2022-08-09T00:00:00"/>
    <n v="2571.09"/>
    <n v="12"/>
    <x v="2"/>
    <x v="0"/>
    <n v="67"/>
  </r>
  <r>
    <s v="a14aaab7-0712-4089-b468-a16dc4ded9b8"/>
    <s v="Jason Daniels"/>
    <d v="2009-06-08T00:00:00"/>
    <x v="0"/>
    <x v="19"/>
    <s v="Decongestants"/>
    <s v="Advised on steam inhalation for symptom relief."/>
    <d v="2024-05-12T00:00:00"/>
    <d v="2024-06-08T00:00:00"/>
    <n v="2559.7199999999998"/>
    <n v="27"/>
    <x v="5"/>
    <x v="3"/>
    <n v="14"/>
  </r>
  <r>
    <s v="90636261-03c9-4d04-90a1-f67543933fc1"/>
    <s v="Christopher Gray"/>
    <d v="1924-07-18T00:00:00"/>
    <x v="1"/>
    <x v="24"/>
    <s v="Rest"/>
    <s v="Prescribed cough medicine and advised rest."/>
    <d v="2023-03-09T00:00:00"/>
    <d v="2023-03-25T00:00:00"/>
    <n v="2559.5300000000002"/>
    <n v="16"/>
    <x v="10"/>
    <x v="1"/>
    <n v="98"/>
  </r>
  <r>
    <s v="cc192172-6ed7-4dfa-8066-8ec9715abbd8"/>
    <s v="Cheyenne Hanson"/>
    <d v="2010-10-24T00:00:00"/>
    <x v="0"/>
    <x v="22"/>
    <s v="Hydration"/>
    <s v="Advised increased fluid intake."/>
    <d v="2024-02-09T00:00:00"/>
    <d v="2024-03-04T00:00:00"/>
    <n v="2555.34"/>
    <n v="24"/>
    <x v="11"/>
    <x v="3"/>
    <n v="13"/>
  </r>
  <r>
    <s v="df0c29ed-c260-4424-8e1f-af83a79dce34"/>
    <s v="Pamela Brown"/>
    <d v="1980-09-05T00:00:00"/>
    <x v="0"/>
    <x v="15"/>
    <s v="Anxiolytics"/>
    <s v="Discussed stress management techniques."/>
    <d v="2023-11-18T00:00:00"/>
    <d v="2023-11-30T00:00:00"/>
    <n v="2552.8000000000002"/>
    <n v="12"/>
    <x v="3"/>
    <x v="1"/>
    <n v="43"/>
  </r>
  <r>
    <s v="d3217813-0965-48c7-a6e6-791552f3d2bd"/>
    <s v="Kelly Henderson"/>
    <d v="1970-03-29T00:00:00"/>
    <x v="1"/>
    <x v="21"/>
    <s v="Compression"/>
    <s v="Advised RICE (Rest, Ice, Compression, Elevation) protocol."/>
    <d v="2022-01-29T00:00:00"/>
    <d v="2022-02-15T00:00:00"/>
    <n v="2549.23"/>
    <n v="17"/>
    <x v="1"/>
    <x v="0"/>
    <n v="51"/>
  </r>
  <r>
    <s v="c5f11786-656f-4a2f-938b-64f7b88c4dc1"/>
    <s v="Thomas Perez"/>
    <d v="2003-09-11T00:00:00"/>
    <x v="0"/>
    <x v="21"/>
    <s v="Rest"/>
    <s v="Monitor for any signs of worsening symptoms."/>
    <d v="2021-08-16T00:00:00"/>
    <d v="2021-09-15T00:00:00"/>
    <n v="2543.44"/>
    <n v="30"/>
    <x v="7"/>
    <x v="2"/>
    <n v="17"/>
  </r>
  <r>
    <s v="ec46d784-abc2-46d3-8164-c04f8d11b2fa"/>
    <s v="Matthew Reynolds"/>
    <d v="1980-06-15T00:00:00"/>
    <x v="0"/>
    <x v="20"/>
    <s v="Topical Creams"/>
    <s v="Prescribed pain relief medication."/>
    <d v="2022-11-24T00:00:00"/>
    <d v="2022-11-30T00:00:00"/>
    <n v="2541.12"/>
    <n v="6"/>
    <x v="3"/>
    <x v="0"/>
    <n v="42"/>
  </r>
  <r>
    <s v="c3580160-e2d6-446c-9e8c-73660a2cf683"/>
    <s v="Amber Hancock"/>
    <d v="1939-01-29T00:00:00"/>
    <x v="1"/>
    <x v="15"/>
    <s v="Anxiolytics"/>
    <s v="Referred to cognitive behavioral therapy."/>
    <d v="2024-04-19T00:00:00"/>
    <d v="2024-05-06T00:00:00"/>
    <n v="2538.9699999999998"/>
    <n v="17"/>
    <x v="9"/>
    <x v="3"/>
    <n v="85"/>
  </r>
  <r>
    <s v="93ca6215-3c58-47e2-9647-7e0fa744a135"/>
    <s v="Robert Francis"/>
    <d v="1980-01-12T00:00:00"/>
    <x v="0"/>
    <x v="21"/>
    <s v="Elevation"/>
    <s v="Prescribed pain relief medication."/>
    <d v="2021-08-29T00:00:00"/>
    <d v="2021-08-30T00:00:00"/>
    <n v="2524.9499999999998"/>
    <n v="1"/>
    <x v="7"/>
    <x v="2"/>
    <n v="41"/>
  </r>
  <r>
    <s v="e04c8819-cca4-42fb-8ba8-e43b19bdea8a"/>
    <s v="Jessica Fitzgerald"/>
    <d v="2005-11-04T00:00:00"/>
    <x v="1"/>
    <x v="20"/>
    <s v="Topical Creams"/>
    <s v="Prescribed pain relief medication."/>
    <d v="2022-11-30T00:00:00"/>
    <d v="2022-12-05T00:00:00"/>
    <n v="2521.6"/>
    <n v="5"/>
    <x v="3"/>
    <x v="0"/>
    <n v="17"/>
  </r>
  <r>
    <s v="b86853e7-b4b0-44f7-a5e4-b735be42da28"/>
    <s v="Stephanie Brown"/>
    <d v="1986-10-05T00:00:00"/>
    <x v="1"/>
    <x v="22"/>
    <s v="Hydration"/>
    <s v="Started on antibiotics to treat infection."/>
    <d v="2021-08-11T00:00:00"/>
    <d v="2021-09-04T00:00:00"/>
    <n v="2517.7399999999998"/>
    <n v="24"/>
    <x v="7"/>
    <x v="2"/>
    <n v="34"/>
  </r>
  <r>
    <s v="1c9695c2-783a-4734-9b09-7ceea4530878"/>
    <s v="Heather Duncan"/>
    <d v="1966-01-19T00:00:00"/>
    <x v="1"/>
    <x v="22"/>
    <s v="Hydration"/>
    <s v="Monitor for any signs of worsening symptoms."/>
    <d v="2022-12-02T00:00:00"/>
    <d v="2022-12-22T00:00:00"/>
    <n v="2517.54"/>
    <n v="20"/>
    <x v="0"/>
    <x v="0"/>
    <n v="56"/>
  </r>
  <r>
    <s v="f0b4a467-1d39-4ffa-8d19-f7b98109bdf1"/>
    <s v="Alicia Jones"/>
    <d v="2001-08-21T00:00:00"/>
    <x v="1"/>
    <x v="21"/>
    <s v="Compression"/>
    <s v="Prescribed pain relief medication."/>
    <d v="2024-04-05T00:00:00"/>
    <d v="2024-04-10T00:00:00"/>
    <n v="2517.13"/>
    <n v="5"/>
    <x v="9"/>
    <x v="3"/>
    <n v="22"/>
  </r>
  <r>
    <s v="dee009b8-2628-4956-9156-3807da02030a"/>
    <s v="Angela Mills"/>
    <d v="1973-12-21T00:00:00"/>
    <x v="1"/>
    <x v="21"/>
    <s v="Ice"/>
    <s v="Monitor for any signs of worsening symptoms."/>
    <d v="2023-11-26T00:00:00"/>
    <d v="2023-12-02T00:00:00"/>
    <n v="2516.6799999999998"/>
    <n v="6"/>
    <x v="3"/>
    <x v="1"/>
    <n v="49"/>
  </r>
  <r>
    <s v="10d3941b-895f-42b2-b1de-e689575da2a8"/>
    <s v="Christine Garcia"/>
    <d v="1948-07-24T00:00:00"/>
    <x v="0"/>
    <x v="14"/>
    <s v="Lifestyle Changes"/>
    <s v="Advised to reduce salt intake and increase physical activity."/>
    <d v="2023-03-12T00:00:00"/>
    <d v="2023-03-14T00:00:00"/>
    <n v="2510.86"/>
    <n v="2"/>
    <x v="10"/>
    <x v="1"/>
    <n v="74"/>
  </r>
  <r>
    <s v="d24f67ec-5a61-4efd-b290-a445de8c5283"/>
    <s v="Christopher Obrien"/>
    <d v="1978-04-25T00:00:00"/>
    <x v="0"/>
    <x v="20"/>
    <s v="Pain Relief"/>
    <s v="Bandaged affected area to protect from further injury."/>
    <d v="2023-06-25T00:00:00"/>
    <d v="2023-06-30T00:00:00"/>
    <n v="2503.94"/>
    <n v="5"/>
    <x v="4"/>
    <x v="1"/>
    <n v="45"/>
  </r>
  <r>
    <s v="a2ad7e73-8c55-4065-ad39-8dd0a57c0dc0"/>
    <s v="Lauren Anderson"/>
    <d v="1938-02-19T00:00:00"/>
    <x v="1"/>
    <x v="25"/>
    <s v="Medication"/>
    <s v="Prescribed rehydration solution and advised rest."/>
    <d v="2021-09-06T00:00:00"/>
    <d v="2021-09-15T00:00:00"/>
    <n v="2502.58"/>
    <n v="9"/>
    <x v="6"/>
    <x v="2"/>
    <n v="83"/>
  </r>
  <r>
    <s v="b846b535-a8df-4948-bfa2-fef065e25c2d"/>
    <s v="Jennifer Gomez"/>
    <d v="2023-07-12T00:00:00"/>
    <x v="1"/>
    <x v="18"/>
    <s v="Rest"/>
    <s v="Advised rest and maintain hydration."/>
    <d v="2023-08-31T00:00:00"/>
    <d v="2023-09-11T00:00:00"/>
    <n v="2498.7800000000002"/>
    <n v="11"/>
    <x v="7"/>
    <x v="1"/>
    <n v="0"/>
  </r>
  <r>
    <s v="b9d7d346-5446-4a7a-8518-092fec1136e1"/>
    <s v="Ana Hayes"/>
    <d v="1937-05-18T00:00:00"/>
    <x v="1"/>
    <x v="22"/>
    <s v="Hydration"/>
    <s v="Advised increased fluid intake."/>
    <d v="2023-12-06T00:00:00"/>
    <d v="2023-12-08T00:00:00"/>
    <n v="2488.2199999999998"/>
    <n v="2"/>
    <x v="0"/>
    <x v="1"/>
    <n v="86"/>
  </r>
  <r>
    <s v="2d524e8d-2156-4714-a053-5e40ff76e0f1"/>
    <s v="Sylvia Watts"/>
    <d v="1944-06-11T00:00:00"/>
    <x v="1"/>
    <x v="15"/>
    <s v="Cognitive Behavioral Therapy"/>
    <s v="Referred to cognitive behavioral therapy."/>
    <d v="2023-04-22T00:00:00"/>
    <d v="2023-05-20T00:00:00"/>
    <n v="2480.62"/>
    <n v="28"/>
    <x v="9"/>
    <x v="1"/>
    <n v="78"/>
  </r>
  <r>
    <s v="3e50e91c-2843-428b-aa98-65a957d551b7"/>
    <s v="Kimberly Gay"/>
    <d v="1957-08-09T00:00:00"/>
    <x v="1"/>
    <x v="15"/>
    <s v="Anxiolytics"/>
    <s v="Referred to cognitive behavioral therapy."/>
    <d v="2021-09-19T00:00:00"/>
    <d v="2021-10-16T00:00:00"/>
    <n v="2471.69"/>
    <n v="27"/>
    <x v="6"/>
    <x v="2"/>
    <n v="64"/>
  </r>
  <r>
    <s v="b25866fc-078a-47c3-8317-b9497a6e628b"/>
    <s v="Jennifer Stone"/>
    <d v="1929-07-22T00:00:00"/>
    <x v="1"/>
    <x v="18"/>
    <s v="Hydration"/>
    <s v="Advised rest and maintain hydration."/>
    <d v="2022-03-19T00:00:00"/>
    <d v="2022-03-20T00:00:00"/>
    <n v="2468.69"/>
    <n v="1"/>
    <x v="10"/>
    <x v="0"/>
    <n v="92"/>
  </r>
  <r>
    <s v="787ae9e6-245c-4870-878b-d2fd95688ff0"/>
    <s v="Lisa Jackson"/>
    <d v="1952-06-18T00:00:00"/>
    <x v="0"/>
    <x v="22"/>
    <s v="Hydration"/>
    <s v="Monitor for any signs of worsening symptoms."/>
    <d v="2022-05-01T00:00:00"/>
    <d v="2022-05-08T00:00:00"/>
    <n v="2459"/>
    <n v="7"/>
    <x v="5"/>
    <x v="0"/>
    <n v="69"/>
  </r>
  <r>
    <s v="c51a5f53-c94a-4f91-a9b2-a203cd2b64d1"/>
    <s v="Sarah Andersen"/>
    <d v="1945-02-16T00:00:00"/>
    <x v="1"/>
    <x v="25"/>
    <s v="Rehydration Therapy"/>
    <s v="Prescribed rehydration solution and advised rest."/>
    <d v="2022-09-05T00:00:00"/>
    <d v="2022-10-04T00:00:00"/>
    <n v="2458.92"/>
    <n v="29"/>
    <x v="6"/>
    <x v="0"/>
    <n v="77"/>
  </r>
  <r>
    <s v="e749448d-b264-42f8-807a-08987bd71060"/>
    <s v="Autumn Pearson"/>
    <d v="1981-02-03T00:00:00"/>
    <x v="0"/>
    <x v="25"/>
    <s v="Medication"/>
    <s v="Prescribed rehydration solution and advised rest."/>
    <d v="2022-03-30T00:00:00"/>
    <d v="2022-04-21T00:00:00"/>
    <n v="2456.37"/>
    <n v="22"/>
    <x v="10"/>
    <x v="0"/>
    <n v="41"/>
  </r>
  <r>
    <s v="d6e40b36-779b-48ae-9371-1a1a08f00cb9"/>
    <s v="Karen Daniel"/>
    <d v="1940-04-23T00:00:00"/>
    <x v="1"/>
    <x v="24"/>
    <s v="Cough Medicine"/>
    <s v="Started on antibiotics for bacterial infection."/>
    <d v="2021-09-12T00:00:00"/>
    <d v="2021-09-29T00:00:00"/>
    <n v="2440.9499999999998"/>
    <n v="17"/>
    <x v="6"/>
    <x v="2"/>
    <n v="81"/>
  </r>
  <r>
    <s v="9f0b5820-6e2d-42ee-b467-c14dfe3361aa"/>
    <s v="Daniel Freeman"/>
    <d v="2016-10-31T00:00:00"/>
    <x v="1"/>
    <x v="19"/>
    <s v="Antibiotics"/>
    <s v="Started on antibiotics for bacterial infection."/>
    <d v="2024-01-09T00:00:00"/>
    <d v="2024-01-19T00:00:00"/>
    <n v="2428.21"/>
    <n v="10"/>
    <x v="1"/>
    <x v="3"/>
    <n v="7"/>
  </r>
  <r>
    <s v="fdad6477-a5b8-4bcd-ac07-6120affbcd0b"/>
    <s v="Charles Lucero"/>
    <d v="1972-04-16T00:00:00"/>
    <x v="0"/>
    <x v="15"/>
    <s v="Anxiolytics"/>
    <s v="Referred to cognitive behavioral therapy."/>
    <d v="2022-07-16T00:00:00"/>
    <d v="2022-07-19T00:00:00"/>
    <n v="2426.34"/>
    <n v="3"/>
    <x v="2"/>
    <x v="0"/>
    <n v="50"/>
  </r>
  <r>
    <s v="0e4406c5-fcfb-43f6-b536-a2985704ba65"/>
    <s v="Felicia Morales"/>
    <d v="1978-08-01T00:00:00"/>
    <x v="0"/>
    <x v="16"/>
    <s v="Antidepressants"/>
    <s v="Follow-up to assess effectiveness of treatment."/>
    <d v="2024-04-18T00:00:00"/>
    <d v="2024-04-24T00:00:00"/>
    <n v="2425.0500000000002"/>
    <n v="6"/>
    <x v="9"/>
    <x v="3"/>
    <n v="45"/>
  </r>
  <r>
    <s v="df6984cf-6b08-4fdf-882e-eac79d2468e5"/>
    <s v="John Day"/>
    <d v="1945-10-07T00:00:00"/>
    <x v="0"/>
    <x v="20"/>
    <s v="Topical Creams"/>
    <s v="Bandaged affected area to protect from further injury."/>
    <d v="2021-12-24T00:00:00"/>
    <d v="2021-12-31T00:00:00"/>
    <n v="2415.35"/>
    <n v="7"/>
    <x v="0"/>
    <x v="2"/>
    <n v="76"/>
  </r>
  <r>
    <s v="478f2ee5-4cad-4c7c-b4f9-a936a6e04597"/>
    <s v="Jim Hall"/>
    <d v="1957-06-05T00:00:00"/>
    <x v="1"/>
    <x v="19"/>
    <s v="Decongestants"/>
    <s v="Started on antibiotics for bacterial infection."/>
    <d v="2022-05-26T00:00:00"/>
    <d v="2022-06-11T00:00:00"/>
    <n v="2413.4699999999998"/>
    <n v="16"/>
    <x v="5"/>
    <x v="0"/>
    <n v="64"/>
  </r>
  <r>
    <s v="68aa6ab9-923f-4c67-9f8b-2b250b930809"/>
    <s v="Matthew Henry"/>
    <d v="1943-07-17T00:00:00"/>
    <x v="0"/>
    <x v="21"/>
    <s v="Ice"/>
    <s v="Prescribed pain relief medication."/>
    <d v="2022-10-14T00:00:00"/>
    <d v="2022-11-07T00:00:00"/>
    <n v="2402.36"/>
    <n v="24"/>
    <x v="8"/>
    <x v="0"/>
    <n v="79"/>
  </r>
  <r>
    <s v="38174cd3-246e-4ec3-8cc1-f2d5774db7df"/>
    <s v="Johnny Taylor"/>
    <d v="2005-01-06T00:00:00"/>
    <x v="1"/>
    <x v="23"/>
    <s v="Lifestyle Changes"/>
    <s v="Prescribed medication for immediate pain relief."/>
    <d v="2022-04-07T00:00:00"/>
    <d v="2022-04-10T00:00:00"/>
    <n v="2398.38"/>
    <n v="3"/>
    <x v="9"/>
    <x v="0"/>
    <n v="17"/>
  </r>
  <r>
    <s v="4fc5683e-d3d3-4a73-83f3-b801e5cdae97"/>
    <s v="Amber Bailey"/>
    <d v="2006-12-01T00:00:00"/>
    <x v="0"/>
    <x v="19"/>
    <s v="Decongestants"/>
    <s v="Advised on steam inhalation for symptom relief."/>
    <d v="2021-10-19T00:00:00"/>
    <d v="2021-11-07T00:00:00"/>
    <n v="2398.3200000000002"/>
    <n v="19"/>
    <x v="8"/>
    <x v="2"/>
    <n v="14"/>
  </r>
  <r>
    <s v="297a0016-8ce9-4276-9742-78677411b3d5"/>
    <s v="Beth Leblanc"/>
    <d v="1957-04-25T00:00:00"/>
    <x v="1"/>
    <x v="17"/>
    <s v="Inhalers"/>
    <s v="Patient instructed on proper inhaler technique."/>
    <d v="2023-03-15T00:00:00"/>
    <d v="2023-04-09T00:00:00"/>
    <n v="2394.33"/>
    <n v="25"/>
    <x v="10"/>
    <x v="1"/>
    <n v="65"/>
  </r>
  <r>
    <s v="7e299f04-1cae-4ed0-bbf5-82fb3ea4801a"/>
    <s v="William Estrada"/>
    <d v="1977-07-13T00:00:00"/>
    <x v="1"/>
    <x v="16"/>
    <s v="Antidepressants"/>
    <s v="Referred to therapy for additional support."/>
    <d v="2021-09-27T00:00:00"/>
    <d v="2021-10-09T00:00:00"/>
    <n v="2394.11"/>
    <n v="12"/>
    <x v="6"/>
    <x v="2"/>
    <n v="44"/>
  </r>
  <r>
    <s v="4a0029f7-df5a-47ab-afeb-4a8c6c5be808"/>
    <s v="Tiffany Clark"/>
    <d v="1928-06-22T00:00:00"/>
    <x v="1"/>
    <x v="15"/>
    <s v="Cognitive Behavioral Therapy"/>
    <s v="Discussed stress management techniques."/>
    <d v="2023-03-22T00:00:00"/>
    <d v="2023-04-07T00:00:00"/>
    <n v="2390.17"/>
    <n v="16"/>
    <x v="10"/>
    <x v="1"/>
    <n v="94"/>
  </r>
  <r>
    <s v="3cbd1209-ca6e-459f-b1b0-5587faf93e39"/>
    <s v="Madison Powell"/>
    <d v="1990-06-08T00:00:00"/>
    <x v="1"/>
    <x v="13"/>
    <s v="Medication"/>
    <s v="Insulin therapy initiated; patient instructed on usage."/>
    <d v="2023-08-21T00:00:00"/>
    <d v="2023-09-05T00:00:00"/>
    <n v="2389.81"/>
    <n v="15"/>
    <x v="7"/>
    <x v="1"/>
    <n v="33"/>
  </r>
  <r>
    <s v="9145197d-674a-4c1a-85af-04f6e5ef24d0"/>
    <s v="Douglas Carter"/>
    <d v="1956-05-10T00:00:00"/>
    <x v="0"/>
    <x v="13"/>
    <s v="Insulin Therapy"/>
    <s v="Insulin therapy initiated; patient instructed on usage."/>
    <d v="2024-03-16T00:00:00"/>
    <d v="2024-03-30T00:00:00"/>
    <n v="2385.88"/>
    <n v="14"/>
    <x v="10"/>
    <x v="3"/>
    <n v="67"/>
  </r>
  <r>
    <s v="3b24ae17-2f54-4fc7-bcb0-b5d74f1e27e6"/>
    <s v="Bruce Reed"/>
    <d v="1927-11-17T00:00:00"/>
    <x v="1"/>
    <x v="24"/>
    <s v="Cough Medicine"/>
    <s v="Started on antibiotics for bacterial infection."/>
    <d v="2023-06-27T00:00:00"/>
    <d v="2023-07-18T00:00:00"/>
    <n v="2382.35"/>
    <n v="21"/>
    <x v="4"/>
    <x v="1"/>
    <n v="95"/>
  </r>
  <r>
    <s v="d2de225e-e1f1-459e-90ee-3f6f9b3c50e0"/>
    <s v="Kelly Perez"/>
    <d v="1984-09-21T00:00:00"/>
    <x v="0"/>
    <x v="21"/>
    <s v="Ice"/>
    <s v="Monitor for any signs of worsening symptoms."/>
    <d v="2023-12-28T00:00:00"/>
    <d v="2024-01-26T00:00:00"/>
    <n v="2377.4299999999998"/>
    <n v="29"/>
    <x v="0"/>
    <x v="1"/>
    <n v="39"/>
  </r>
  <r>
    <s v="94e391b9-f37d-4e88-902c-0ab3551949bb"/>
    <s v="Jon Bishop"/>
    <d v="1975-04-01T00:00:00"/>
    <x v="1"/>
    <x v="25"/>
    <s v="Medication"/>
    <s v="Symptomatic treatment for nausea and vomiting."/>
    <d v="2023-10-13T00:00:00"/>
    <d v="2023-11-09T00:00:00"/>
    <n v="2375.66"/>
    <n v="27"/>
    <x v="8"/>
    <x v="1"/>
    <n v="48"/>
  </r>
  <r>
    <s v="5b7aba80-dd70-4c0c-ba05-174e5e1f212a"/>
    <s v="Steven Castillo"/>
    <d v="1947-06-26T00:00:00"/>
    <x v="1"/>
    <x v="23"/>
    <s v="Lifestyle Changes"/>
    <s v="Follow-up to assess effectiveness of treatment."/>
    <d v="2021-12-28T00:00:00"/>
    <d v="2022-01-21T00:00:00"/>
    <n v="2371.3200000000002"/>
    <n v="24"/>
    <x v="0"/>
    <x v="2"/>
    <n v="74"/>
  </r>
  <r>
    <s v="6db0cb06-f633-4b7c-95df-21b3d3dde459"/>
    <s v="Keith Cox"/>
    <d v="1972-09-11T00:00:00"/>
    <x v="0"/>
    <x v="24"/>
    <s v="Rest"/>
    <s v="Started on antibiotics for bacterial infection."/>
    <d v="2021-08-24T00:00:00"/>
    <d v="2021-09-18T00:00:00"/>
    <n v="2353.4699999999998"/>
    <n v="25"/>
    <x v="7"/>
    <x v="2"/>
    <n v="48"/>
  </r>
  <r>
    <s v="c815af1f-e407-432b-bacb-59c29d538335"/>
    <s v="Wanda Daugherty"/>
    <d v="1944-12-26T00:00:00"/>
    <x v="1"/>
    <x v="16"/>
    <s v="Antidepressants"/>
    <s v="Follow-up to assess effectiveness of treatment."/>
    <d v="2023-10-21T00:00:00"/>
    <d v="2023-11-03T00:00:00"/>
    <n v="2352.77"/>
    <n v="13"/>
    <x v="8"/>
    <x v="1"/>
    <n v="78"/>
  </r>
  <r>
    <s v="55675a07-9e2b-41af-a0c3-86a024e8ba80"/>
    <s v="Jessica Shields"/>
    <d v="1957-12-07T00:00:00"/>
    <x v="1"/>
    <x v="12"/>
    <s v="Physical Therapy"/>
    <s v="Referred to physical therapy for joint strengthening exercises."/>
    <d v="2022-04-22T00:00:00"/>
    <d v="2022-04-23T00:00:00"/>
    <n v="2350.1999999999998"/>
    <n v="1"/>
    <x v="9"/>
    <x v="0"/>
    <n v="64"/>
  </r>
  <r>
    <s v="92928a2c-4c39-4120-ade1-25a01c37500b"/>
    <s v="Daniel Mora"/>
    <d v="1994-07-22T00:00:00"/>
    <x v="1"/>
    <x v="20"/>
    <s v="Bandaging"/>
    <s v="Prescribed pain relief medication."/>
    <d v="2021-09-02T00:00:00"/>
    <d v="2021-09-06T00:00:00"/>
    <n v="2345.96"/>
    <n v="4"/>
    <x v="6"/>
    <x v="2"/>
    <n v="27"/>
  </r>
  <r>
    <s v="aebfb842-1405-4c28-aa6a-d018239c8493"/>
    <s v="Joseph Moran"/>
    <d v="1959-02-23T00:00:00"/>
    <x v="0"/>
    <x v="14"/>
    <s v="Lifestyle Changes"/>
    <s v="Advised to reduce salt intake and increase physical activity."/>
    <d v="2022-07-26T00:00:00"/>
    <d v="2022-08-05T00:00:00"/>
    <n v="2343.29"/>
    <n v="10"/>
    <x v="2"/>
    <x v="0"/>
    <n v="63"/>
  </r>
  <r>
    <s v="b42072c3-0daa-4c11-8111-4f5724e639b6"/>
    <s v="Ashley Mueller MD"/>
    <d v="2016-03-15T00:00:00"/>
    <x v="0"/>
    <x v="20"/>
    <s v="Topical Creams"/>
    <s v="Bandaged affected area to protect from further injury."/>
    <d v="2022-08-07T00:00:00"/>
    <d v="2022-08-29T00:00:00"/>
    <n v="2337.48"/>
    <n v="22"/>
    <x v="7"/>
    <x v="0"/>
    <n v="6"/>
  </r>
  <r>
    <s v="3cc3c029-e319-44f8-a340-ef4e6499a727"/>
    <s v="Shawn Murray"/>
    <d v="2001-06-21T00:00:00"/>
    <x v="0"/>
    <x v="23"/>
    <s v="Pain Relief Medication"/>
    <s v="Advised on lifestyle changes to reduce migraine triggers."/>
    <d v="2022-07-20T00:00:00"/>
    <d v="2022-07-28T00:00:00"/>
    <n v="2334.7600000000002"/>
    <n v="8"/>
    <x v="2"/>
    <x v="0"/>
    <n v="21"/>
  </r>
  <r>
    <s v="ed79652b-1eef-4e04-8e4b-1a0649d08e5a"/>
    <s v="Brian Browning"/>
    <d v="1990-02-16T00:00:00"/>
    <x v="1"/>
    <x v="17"/>
    <s v="Inhalers"/>
    <s v="Prescribed bronchodilator for immediate relief."/>
    <d v="2023-01-13T00:00:00"/>
    <d v="2023-02-04T00:00:00"/>
    <n v="2331.7600000000002"/>
    <n v="22"/>
    <x v="1"/>
    <x v="1"/>
    <n v="32"/>
  </r>
  <r>
    <s v="d65a83b3-0124-4bba-9633-273ce061d0ba"/>
    <s v="Tracy Harvey MD"/>
    <d v="2016-08-14T00:00:00"/>
    <x v="0"/>
    <x v="17"/>
    <s v="Inhalers"/>
    <s v="Prescribed bronchodilator for immediate relief."/>
    <d v="2022-09-12T00:00:00"/>
    <d v="2022-10-08T00:00:00"/>
    <n v="2331.06"/>
    <n v="26"/>
    <x v="6"/>
    <x v="0"/>
    <n v="6"/>
  </r>
  <r>
    <s v="aba865b1-5818-4719-9bd5-2ff902292a0a"/>
    <s v="Angela Hawkins"/>
    <d v="1975-04-15T00:00:00"/>
    <x v="0"/>
    <x v="21"/>
    <s v="Ice"/>
    <s v="Prescribed pain relief medication."/>
    <d v="2022-10-18T00:00:00"/>
    <d v="2022-11-07T00:00:00"/>
    <n v="2322.63"/>
    <n v="20"/>
    <x v="8"/>
    <x v="0"/>
    <n v="47"/>
  </r>
  <r>
    <s v="a0edfd81-490a-4c7e-a119-d3453049ea80"/>
    <s v="Julie Moore"/>
    <d v="1938-12-15T00:00:00"/>
    <x v="1"/>
    <x v="24"/>
    <s v="Cough Medicine"/>
    <s v="Started on antibiotics for bacterial infection."/>
    <d v="2021-10-28T00:00:00"/>
    <d v="2021-11-05T00:00:00"/>
    <n v="2309.31"/>
    <n v="8"/>
    <x v="8"/>
    <x v="2"/>
    <n v="82"/>
  </r>
  <r>
    <s v="0c249057-1bdd-49d8-9792-a7f0e8183cd2"/>
    <s v="Richard Knox"/>
    <d v="2007-08-12T00:00:00"/>
    <x v="0"/>
    <x v="12"/>
    <s v="Physical Therapy"/>
    <s v="Advised on lifestyle modifications to reduce joint pain."/>
    <d v="2022-02-13T00:00:00"/>
    <d v="2022-02-25T00:00:00"/>
    <n v="2307.35"/>
    <n v="12"/>
    <x v="11"/>
    <x v="0"/>
    <n v="14"/>
  </r>
  <r>
    <s v="08adda26-c2ee-42d9-9ef9-8014ff0e0b04"/>
    <s v="Brandon James"/>
    <d v="1947-06-23T00:00:00"/>
    <x v="0"/>
    <x v="14"/>
    <s v="Medication"/>
    <s v="Patient started on antihypertensive medication."/>
    <d v="2021-10-31T00:00:00"/>
    <d v="2021-11-30T00:00:00"/>
    <n v="2300.8000000000002"/>
    <n v="30"/>
    <x v="8"/>
    <x v="2"/>
    <n v="74"/>
  </r>
  <r>
    <s v="6818856a-cf11-4ca8-a7d8-b385bea45a20"/>
    <s v="Mackenzie Sanchez"/>
    <d v="1957-02-16T00:00:00"/>
    <x v="1"/>
    <x v="13"/>
    <s v="Medication"/>
    <s v="Discussed dietary changes to manage blood sugar levels."/>
    <d v="2023-08-18T00:00:00"/>
    <d v="2023-08-30T00:00:00"/>
    <n v="2293.64"/>
    <n v="12"/>
    <x v="7"/>
    <x v="1"/>
    <n v="66"/>
  </r>
  <r>
    <s v="f483b84c-b5d2-48dc-85fc-b51826ec2273"/>
    <s v="John Thomas"/>
    <d v="1961-05-28T00:00:00"/>
    <x v="1"/>
    <x v="20"/>
    <s v="Pain Relief"/>
    <s v="Prescribed pain relief medication."/>
    <d v="2021-09-02T00:00:00"/>
    <d v="2021-09-18T00:00:00"/>
    <n v="2284.65"/>
    <n v="16"/>
    <x v="6"/>
    <x v="2"/>
    <n v="60"/>
  </r>
  <r>
    <s v="7df5fb64-6059-4fc7-8a5b-d18a290ffd03"/>
    <s v="Mario Ellison"/>
    <d v="1954-05-13T00:00:00"/>
    <x v="0"/>
    <x v="17"/>
    <s v="Medication"/>
    <s v="Advised to avoid known asthma triggers."/>
    <d v="2023-07-31T00:00:00"/>
    <d v="2023-08-09T00:00:00"/>
    <n v="2282.1999999999998"/>
    <n v="9"/>
    <x v="2"/>
    <x v="1"/>
    <n v="69"/>
  </r>
  <r>
    <s v="93096cc2-89ca-45f7-b14d-f681eb1a1f0b"/>
    <s v="Robin Weaver"/>
    <d v="1977-10-27T00:00:00"/>
    <x v="1"/>
    <x v="22"/>
    <s v="Hydration"/>
    <s v="Started on antibiotics to treat infection."/>
    <d v="2023-02-23T00:00:00"/>
    <d v="2023-03-24T00:00:00"/>
    <n v="2280.89"/>
    <n v="29"/>
    <x v="11"/>
    <x v="1"/>
    <n v="45"/>
  </r>
  <r>
    <s v="bf020b0d-3391-40f7-aa75-8c7641829fd4"/>
    <s v="Amanda Ramos"/>
    <d v="1927-04-03T00:00:00"/>
    <x v="1"/>
    <x v="17"/>
    <s v="Inhalers"/>
    <s v="Advised to avoid known asthma triggers."/>
    <d v="2023-06-11T00:00:00"/>
    <d v="2023-07-03T00:00:00"/>
    <n v="2267.96"/>
    <n v="22"/>
    <x v="4"/>
    <x v="1"/>
    <n v="96"/>
  </r>
  <r>
    <s v="84747c4a-19e5-4844-bcf7-60f79cf12ab9"/>
    <s v="Kimberly Johnson"/>
    <d v="2023-08-08T00:00:00"/>
    <x v="1"/>
    <x v="12"/>
    <s v="Physical Therapy"/>
    <s v="Referred to physical therapy for joint strengthening exercises."/>
    <d v="2024-01-22T00:00:00"/>
    <d v="2024-02-12T00:00:00"/>
    <n v="2260.2800000000002"/>
    <n v="21"/>
    <x v="1"/>
    <x v="3"/>
    <n v="0"/>
  </r>
  <r>
    <s v="98dd0d9d-b3fc-4fca-a086-d17f58aaddd6"/>
    <s v="Amanda Rodriguez"/>
    <d v="1964-02-24T00:00:00"/>
    <x v="1"/>
    <x v="16"/>
    <s v="Antidepressants"/>
    <s v="Referred to therapy for additional support."/>
    <d v="2024-01-22T00:00:00"/>
    <d v="2024-02-16T00:00:00"/>
    <n v="2260.2600000000002"/>
    <n v="25"/>
    <x v="1"/>
    <x v="3"/>
    <n v="59"/>
  </r>
  <r>
    <s v="ee00b8df-dee0-467a-a75b-d08ee93a481e"/>
    <s v="Diane Williams"/>
    <d v="1968-05-10T00:00:00"/>
    <x v="1"/>
    <x v="21"/>
    <s v="Rest"/>
    <s v="Advised RICE (Rest, Ice, Compression, Elevation) protocol."/>
    <d v="2023-01-14T00:00:00"/>
    <d v="2023-01-20T00:00:00"/>
    <n v="2259.73"/>
    <n v="6"/>
    <x v="1"/>
    <x v="1"/>
    <n v="54"/>
  </r>
  <r>
    <s v="eb906ae7-b89c-4b41-851e-69965442a0aa"/>
    <s v="Charles Smith"/>
    <d v="2003-03-02T00:00:00"/>
    <x v="0"/>
    <x v="23"/>
    <s v="Lifestyle Changes"/>
    <s v="Follow-up to assess effectiveness of treatment."/>
    <d v="2022-07-28T00:00:00"/>
    <d v="2022-07-31T00:00:00"/>
    <n v="2259.0100000000002"/>
    <n v="3"/>
    <x v="2"/>
    <x v="0"/>
    <n v="19"/>
  </r>
  <r>
    <s v="d61f0a3c-10d9-4c14-8fc5-03f2be41fb15"/>
    <s v="James Gutierrez"/>
    <d v="2018-05-02T00:00:00"/>
    <x v="0"/>
    <x v="21"/>
    <s v="Rest"/>
    <s v="Monitor for any signs of worsening symptoms."/>
    <d v="2023-06-26T00:00:00"/>
    <d v="2023-07-23T00:00:00"/>
    <n v="2251.52"/>
    <n v="27"/>
    <x v="4"/>
    <x v="1"/>
    <n v="5"/>
  </r>
  <r>
    <s v="7bb2d8ef-cde0-449b-b5b7-6debba767066"/>
    <s v="Christopher Harding"/>
    <d v="2017-08-17T00:00:00"/>
    <x v="0"/>
    <x v="23"/>
    <s v="Pain Relief Medication"/>
    <s v="Prescribed medication for immediate pain relief."/>
    <d v="2023-08-04T00:00:00"/>
    <d v="2023-08-16T00:00:00"/>
    <n v="2248.09"/>
    <n v="12"/>
    <x v="7"/>
    <x v="1"/>
    <n v="5"/>
  </r>
  <r>
    <s v="65041e6b-a6b2-4168-b66d-24b0c6b40409"/>
    <s v="Andrea George"/>
    <d v="1930-11-19T00:00:00"/>
    <x v="1"/>
    <x v="20"/>
    <s v="Topical Creams"/>
    <s v="Bandaged affected area to protect from further injury."/>
    <d v="2023-07-16T00:00:00"/>
    <d v="2023-08-06T00:00:00"/>
    <n v="2244.85"/>
    <n v="21"/>
    <x v="2"/>
    <x v="1"/>
    <n v="92"/>
  </r>
  <r>
    <s v="df4f8ee0-a9e2-47c2-b7da-cedb87a53664"/>
    <s v="Charles Gross"/>
    <d v="1988-09-08T00:00:00"/>
    <x v="0"/>
    <x v="25"/>
    <s v="Rehydration Therapy"/>
    <s v="Prescribed rehydration solution and advised rest."/>
    <d v="2024-05-17T00:00:00"/>
    <d v="2024-06-10T00:00:00"/>
    <n v="2222.89"/>
    <n v="24"/>
    <x v="5"/>
    <x v="3"/>
    <n v="35"/>
  </r>
  <r>
    <s v="8890be68-1b55-4f89-b030-771f39d6e223"/>
    <s v="Kevin Carlson"/>
    <d v="1964-07-24T00:00:00"/>
    <x v="1"/>
    <x v="24"/>
    <s v="Antibiotics"/>
    <s v="Prescribed cough medicine and advised rest."/>
    <d v="2023-07-13T00:00:00"/>
    <d v="2023-07-25T00:00:00"/>
    <n v="2221.52"/>
    <n v="12"/>
    <x v="2"/>
    <x v="1"/>
    <n v="58"/>
  </r>
  <r>
    <s v="16279482-d821-4d3f-93d5-cccfb73b0600"/>
    <s v="Eric Jones"/>
    <d v="2019-12-11T00:00:00"/>
    <x v="1"/>
    <x v="21"/>
    <s v="Elevation"/>
    <s v="Advised RICE (Rest, Ice, Compression, Elevation) protocol."/>
    <d v="2023-06-13T00:00:00"/>
    <d v="2023-06-14T00:00:00"/>
    <n v="2206.64"/>
    <n v="1"/>
    <x v="4"/>
    <x v="1"/>
    <n v="3"/>
  </r>
  <r>
    <s v="5051bdfd-ae9e-4c16-9dae-31fdc03c71dc"/>
    <s v="Emily Edwards"/>
    <d v="1932-01-18T00:00:00"/>
    <x v="0"/>
    <x v="13"/>
    <s v="Insulin Therapy"/>
    <s v="Discussed dietary changes to manage blood sugar levels."/>
    <d v="2021-10-04T00:00:00"/>
    <d v="2021-10-09T00:00:00"/>
    <n v="2194.42"/>
    <n v="5"/>
    <x v="8"/>
    <x v="2"/>
    <n v="89"/>
  </r>
  <r>
    <s v="7a1f6e05-838b-483e-8b68-407a8fae4e32"/>
    <s v="Tyler Hughes"/>
    <d v="2011-03-14T00:00:00"/>
    <x v="1"/>
    <x v="23"/>
    <s v="Pain Relief Medication"/>
    <s v="Advised on lifestyle changes to reduce migraine triggers."/>
    <d v="2023-12-15T00:00:00"/>
    <d v="2024-01-04T00:00:00"/>
    <n v="2192.88"/>
    <n v="20"/>
    <x v="0"/>
    <x v="1"/>
    <n v="12"/>
  </r>
  <r>
    <s v="5d4cd120-9b7e-4b1e-b303-7a128aefd9fe"/>
    <s v="Tammy Cook"/>
    <d v="1977-01-24T00:00:00"/>
    <x v="1"/>
    <x v="18"/>
    <s v="Hydration"/>
    <s v="Advised rest and maintain hydration."/>
    <d v="2021-08-15T00:00:00"/>
    <d v="2021-08-24T00:00:00"/>
    <n v="2186.5700000000002"/>
    <n v="9"/>
    <x v="7"/>
    <x v="2"/>
    <n v="44"/>
  </r>
  <r>
    <s v="66e07bb0-db71-4bbe-b31e-0de29739db96"/>
    <s v="Travis Daniel"/>
    <d v="1929-07-02T00:00:00"/>
    <x v="1"/>
    <x v="25"/>
    <s v="Medication"/>
    <s v="Symptomatic treatment for nausea and vomiting."/>
    <d v="2022-12-23T00:00:00"/>
    <d v="2022-12-31T00:00:00"/>
    <n v="2154.41"/>
    <n v="8"/>
    <x v="0"/>
    <x v="0"/>
    <n v="93"/>
  </r>
  <r>
    <s v="d98bd7fd-6b55-4572-ba87-6bf39bea620f"/>
    <s v="Theresa Crawford"/>
    <d v="1952-09-10T00:00:00"/>
    <x v="0"/>
    <x v="22"/>
    <s v="Antibiotics"/>
    <s v="Started on antibiotics to treat infection."/>
    <d v="2023-06-18T00:00:00"/>
    <d v="2023-06-24T00:00:00"/>
    <n v="2153.6"/>
    <n v="6"/>
    <x v="4"/>
    <x v="1"/>
    <n v="70"/>
  </r>
  <r>
    <s v="96658828-7acc-4957-ae0a-9d71786846a9"/>
    <s v="Jillian Sosa"/>
    <d v="1954-09-15T00:00:00"/>
    <x v="0"/>
    <x v="24"/>
    <s v="Rest"/>
    <s v="Prescribed cough medicine and advised rest."/>
    <d v="2023-10-07T00:00:00"/>
    <d v="2023-10-14T00:00:00"/>
    <n v="2149.85"/>
    <n v="7"/>
    <x v="8"/>
    <x v="1"/>
    <n v="69"/>
  </r>
  <r>
    <s v="6326bb78-cb5d-47fc-b90a-25618cade060"/>
    <s v="Thomas Kennedy"/>
    <d v="1923-11-27T00:00:00"/>
    <x v="0"/>
    <x v="21"/>
    <s v="Ice"/>
    <s v="Advised RICE (Rest, Ice, Compression, Elevation) protocol."/>
    <d v="2023-03-31T00:00:00"/>
    <d v="2023-04-28T00:00:00"/>
    <n v="2146.7199999999998"/>
    <n v="28"/>
    <x v="10"/>
    <x v="1"/>
    <n v="99"/>
  </r>
  <r>
    <s v="e5efda46-34b1-4d3d-9f1e-9c7316299c37"/>
    <s v="Krista Sanchez"/>
    <d v="1938-05-16T00:00:00"/>
    <x v="0"/>
    <x v="24"/>
    <s v="Antibiotics"/>
    <s v="Started on antibiotics for bacterial infection."/>
    <d v="2023-04-15T00:00:00"/>
    <d v="2023-05-12T00:00:00"/>
    <n v="2137.16"/>
    <n v="27"/>
    <x v="9"/>
    <x v="1"/>
    <n v="84"/>
  </r>
  <r>
    <s v="8b61de24-e83f-48fc-9096-79a51913f26e"/>
    <s v="Joshua Bray"/>
    <d v="1936-04-30T00:00:00"/>
    <x v="0"/>
    <x v="20"/>
    <s v="Bandaging"/>
    <s v="Prescribed pain relief medication."/>
    <d v="2023-11-21T00:00:00"/>
    <d v="2023-12-17T00:00:00"/>
    <n v="2134.81"/>
    <n v="26"/>
    <x v="3"/>
    <x v="1"/>
    <n v="87"/>
  </r>
  <r>
    <s v="720fdd0c-897d-4b95-8278-9898f9436484"/>
    <s v="Jill Duncan"/>
    <d v="2010-08-13T00:00:00"/>
    <x v="1"/>
    <x v="20"/>
    <s v="Topical Creams"/>
    <s v="Applied topical creams to prevent infection."/>
    <d v="2024-05-04T00:00:00"/>
    <d v="2024-06-02T00:00:00"/>
    <n v="2128.3000000000002"/>
    <n v="29"/>
    <x v="5"/>
    <x v="3"/>
    <n v="13"/>
  </r>
  <r>
    <s v="8de4c238-3c60-43a2-86f9-d25683c484c7"/>
    <s v="Duane Rodriguez"/>
    <d v="2013-06-22T00:00:00"/>
    <x v="0"/>
    <x v="16"/>
    <s v="Antidepressants"/>
    <s v="Referred to therapy for additional support."/>
    <d v="2022-01-02T00:00:00"/>
    <d v="2022-01-20T00:00:00"/>
    <n v="2125.5100000000002"/>
    <n v="18"/>
    <x v="1"/>
    <x v="0"/>
    <n v="8"/>
  </r>
  <r>
    <s v="77e0e5d2-7db8-4993-bba2-13b1dc1996c4"/>
    <s v="Alan Hester"/>
    <d v="1934-11-14T00:00:00"/>
    <x v="1"/>
    <x v="15"/>
    <s v="Cognitive Behavioral Therapy"/>
    <s v="Discussed stress management techniques."/>
    <d v="2023-06-02T00:00:00"/>
    <d v="2023-07-01T00:00:00"/>
    <n v="2122.67"/>
    <n v="29"/>
    <x v="4"/>
    <x v="1"/>
    <n v="88"/>
  </r>
  <r>
    <s v="b1a13982-5183-4659-b20f-67f90d4c92a2"/>
    <s v="Maria Lucas"/>
    <d v="1960-10-04T00:00:00"/>
    <x v="0"/>
    <x v="11"/>
    <s v="Physical Therapy"/>
    <s v="Fracture immobilized with casting."/>
    <d v="2022-06-24T00:00:00"/>
    <d v="2022-07-15T00:00:00"/>
    <n v="2120.38"/>
    <n v="21"/>
    <x v="4"/>
    <x v="0"/>
    <n v="61"/>
  </r>
  <r>
    <s v="6357a2ce-218c-4bf7-9bdf-5f7f66917488"/>
    <s v="Catherine Haney"/>
    <d v="1964-10-23T00:00:00"/>
    <x v="0"/>
    <x v="14"/>
    <s v="Medication"/>
    <s v="Advised to reduce salt intake and increase physical activity."/>
    <d v="2024-02-22T00:00:00"/>
    <d v="2024-03-23T00:00:00"/>
    <n v="2118.12"/>
    <n v="30"/>
    <x v="11"/>
    <x v="3"/>
    <n v="59"/>
  </r>
  <r>
    <s v="4adc8377-37ba-4b8a-b090-8ae264433199"/>
    <s v="Charles Clark"/>
    <d v="2016-01-05T00:00:00"/>
    <x v="1"/>
    <x v="23"/>
    <s v="Pain Relief Medication"/>
    <s v="Prescribed medication for immediate pain relief."/>
    <d v="2022-12-30T00:00:00"/>
    <d v="2023-01-04T00:00:00"/>
    <n v="2111.14"/>
    <n v="5"/>
    <x v="0"/>
    <x v="0"/>
    <n v="6"/>
  </r>
  <r>
    <s v="c8d89d81-2ff9-4d6a-a28c-1b4c0c64d83c"/>
    <s v="Antonio Garza"/>
    <d v="1996-02-20T00:00:00"/>
    <x v="0"/>
    <x v="18"/>
    <s v="Antiviral Drugs"/>
    <s v="Advised rest and maintain hydration."/>
    <d v="2023-07-21T00:00:00"/>
    <d v="2023-07-28T00:00:00"/>
    <n v="2110.16"/>
    <n v="7"/>
    <x v="2"/>
    <x v="1"/>
    <n v="27"/>
  </r>
  <r>
    <s v="41f4b222-e7f2-4bfd-9fde-5c6abf20a302"/>
    <s v="Jennifer Harris"/>
    <d v="1926-04-02T00:00:00"/>
    <x v="1"/>
    <x v="14"/>
    <s v="Medication"/>
    <s v="Patient started on antihypertensive medication."/>
    <d v="2022-02-23T00:00:00"/>
    <d v="2022-03-10T00:00:00"/>
    <n v="2108.17"/>
    <n v="15"/>
    <x v="11"/>
    <x v="0"/>
    <n v="95"/>
  </r>
  <r>
    <s v="af81b52d-1a44-4620-80b7-086c6ca79f70"/>
    <s v="Christine Robinson"/>
    <d v="2009-07-14T00:00:00"/>
    <x v="1"/>
    <x v="22"/>
    <s v="Antibiotics"/>
    <s v="Started on antibiotics to treat infection."/>
    <d v="2022-11-25T00:00:00"/>
    <d v="2022-12-25T00:00:00"/>
    <n v="2099.39"/>
    <n v="30"/>
    <x v="3"/>
    <x v="0"/>
    <n v="13"/>
  </r>
  <r>
    <s v="a0883235-33be-48bc-a7a6-e18d535f1398"/>
    <s v="Hannah Sanchez"/>
    <d v="1985-12-07T00:00:00"/>
    <x v="0"/>
    <x v="16"/>
    <s v="Antidepressants"/>
    <s v="Prescribed antidepressant medication."/>
    <d v="2023-04-28T00:00:00"/>
    <d v="2023-05-12T00:00:00"/>
    <n v="2069.83"/>
    <n v="14"/>
    <x v="9"/>
    <x v="1"/>
    <n v="37"/>
  </r>
  <r>
    <s v="e27c0bab-07fa-48c7-b9d3-332c6641b9b1"/>
    <s v="Desiree Novak"/>
    <d v="1962-06-12T00:00:00"/>
    <x v="1"/>
    <x v="25"/>
    <s v="Rehydration Therapy"/>
    <s v="Prescribed rehydration solution and advised rest."/>
    <d v="2023-05-07T00:00:00"/>
    <d v="2023-05-08T00:00:00"/>
    <n v="2053.0500000000002"/>
    <n v="1"/>
    <x v="5"/>
    <x v="1"/>
    <n v="60"/>
  </r>
  <r>
    <s v="04ec9d7d-23ba-4a60-a12c-b8f69ef4889a"/>
    <s v="Stephanie Murphy"/>
    <d v="1999-07-21T00:00:00"/>
    <x v="1"/>
    <x v="15"/>
    <s v="Cognitive Behavioral Therapy"/>
    <s v="Discussed stress management techniques."/>
    <d v="2022-05-21T00:00:00"/>
    <d v="2022-06-01T00:00:00"/>
    <n v="2028.65"/>
    <n v="11"/>
    <x v="5"/>
    <x v="0"/>
    <n v="22"/>
  </r>
  <r>
    <s v="afdd65d4-1d1e-4030-a272-263dfa537338"/>
    <s v="Denise House"/>
    <d v="1985-07-26T00:00:00"/>
    <x v="0"/>
    <x v="23"/>
    <s v="Pain Relief Medication"/>
    <s v="Follow-up to assess effectiveness of treatment."/>
    <d v="2022-01-12T00:00:00"/>
    <d v="2022-02-05T00:00:00"/>
    <n v="2028.07"/>
    <n v="24"/>
    <x v="1"/>
    <x v="0"/>
    <n v="36"/>
  </r>
  <r>
    <s v="d5d010ba-0fd1-4ef8-8040-fefdc5555b41"/>
    <s v="Patricia Boone"/>
    <d v="1981-01-13T00:00:00"/>
    <x v="0"/>
    <x v="22"/>
    <s v="Antibiotics"/>
    <s v="Advised increased fluid intake."/>
    <d v="2023-10-02T00:00:00"/>
    <d v="2023-10-10T00:00:00"/>
    <n v="2027.53"/>
    <n v="8"/>
    <x v="8"/>
    <x v="1"/>
    <n v="42"/>
  </r>
  <r>
    <s v="d5b736d0-d8d2-486e-9c2e-caf979af8bdf"/>
    <s v="Angela Flores"/>
    <d v="1957-04-10T00:00:00"/>
    <x v="0"/>
    <x v="17"/>
    <s v="Inhalers"/>
    <s v="Patient instructed on proper inhaler technique."/>
    <d v="2022-03-22T00:00:00"/>
    <d v="2022-04-10T00:00:00"/>
    <n v="2006.08"/>
    <n v="19"/>
    <x v="10"/>
    <x v="0"/>
    <n v="64"/>
  </r>
  <r>
    <s v="82d3f1a8-9127-4fb1-8975-31590b917e5c"/>
    <s v="Christina Moore"/>
    <d v="1976-02-05T00:00:00"/>
    <x v="0"/>
    <x v="19"/>
    <s v="Decongestants"/>
    <s v="Started on antibiotics for bacterial infection."/>
    <d v="2023-10-01T00:00:00"/>
    <d v="2023-10-26T00:00:00"/>
    <n v="2003.18"/>
    <n v="25"/>
    <x v="8"/>
    <x v="1"/>
    <n v="47"/>
  </r>
  <r>
    <s v="e9a65edf-c7c8-4abb-96a9-fad105724257"/>
    <s v="Laura Walter"/>
    <d v="1965-06-22T00:00:00"/>
    <x v="0"/>
    <x v="20"/>
    <s v="Topical Creams"/>
    <s v="Bandaged affected area to protect from further injury."/>
    <d v="2023-02-22T00:00:00"/>
    <d v="2023-02-23T00:00:00"/>
    <n v="1991.11"/>
    <n v="1"/>
    <x v="11"/>
    <x v="1"/>
    <n v="57"/>
  </r>
  <r>
    <s v="020e69db-e796-43d3-bf35-9ffa4a996889"/>
    <s v="Cheryl Skinner"/>
    <d v="1998-08-11T00:00:00"/>
    <x v="0"/>
    <x v="22"/>
    <s v="Antibiotics"/>
    <s v="Monitor for any signs of worsening symptoms."/>
    <d v="2021-09-25T00:00:00"/>
    <d v="2021-10-24T00:00:00"/>
    <n v="1989.13"/>
    <n v="29"/>
    <x v="6"/>
    <x v="2"/>
    <n v="23"/>
  </r>
  <r>
    <s v="1eef37a0-d3ab-40ee-89f9-aad92ad1908e"/>
    <s v="Kaitlin Hansen"/>
    <d v="1979-04-10T00:00:00"/>
    <x v="1"/>
    <x v="20"/>
    <s v="Bandaging"/>
    <s v="Bandaged affected area to protect from further injury."/>
    <d v="2022-02-01T00:00:00"/>
    <d v="2022-02-17T00:00:00"/>
    <n v="1989.11"/>
    <n v="16"/>
    <x v="11"/>
    <x v="0"/>
    <n v="42"/>
  </r>
  <r>
    <s v="3ee70b1c-a6db-4919-91ed-984054adfc71"/>
    <s v="Anthony Bryan"/>
    <d v="2016-01-22T00:00:00"/>
    <x v="1"/>
    <x v="19"/>
    <s v="Antibiotics"/>
    <s v="Prescribed decongestants to relieve sinus pressure."/>
    <d v="2023-06-15T00:00:00"/>
    <d v="2023-06-22T00:00:00"/>
    <n v="1982.24"/>
    <n v="7"/>
    <x v="4"/>
    <x v="1"/>
    <n v="7"/>
  </r>
  <r>
    <s v="454e02cb-37f3-41ab-a908-2c2b9aa9f44d"/>
    <s v="Jerry Bullock"/>
    <d v="2014-10-11T00:00:00"/>
    <x v="1"/>
    <x v="20"/>
    <s v="Bandaging"/>
    <s v="Bandaged affected area to protect from further injury."/>
    <d v="2022-03-22T00:00:00"/>
    <d v="2022-04-12T00:00:00"/>
    <n v="1976.63"/>
    <n v="21"/>
    <x v="10"/>
    <x v="0"/>
    <n v="7"/>
  </r>
  <r>
    <s v="42a1698e-a047-499e-874b-3dcb9d5dcfa2"/>
    <s v="David Whitehead"/>
    <d v="1927-04-10T00:00:00"/>
    <x v="0"/>
    <x v="19"/>
    <s v="Decongestants"/>
    <s v="Started on antibiotics for bacterial infection."/>
    <d v="2023-12-05T00:00:00"/>
    <d v="2023-12-27T00:00:00"/>
    <n v="1965.37"/>
    <n v="22"/>
    <x v="0"/>
    <x v="1"/>
    <n v="96"/>
  </r>
  <r>
    <s v="9da3ffd2-b27b-4e63-921c-2cc4b370c061"/>
    <s v="Courtney Cook"/>
    <d v="1981-02-03T00:00:00"/>
    <x v="1"/>
    <x v="23"/>
    <s v="Pain Relief Medication"/>
    <s v="Follow-up to assess effectiveness of treatment."/>
    <d v="2023-02-19T00:00:00"/>
    <d v="2023-03-17T00:00:00"/>
    <n v="1961.96"/>
    <n v="26"/>
    <x v="11"/>
    <x v="1"/>
    <n v="42"/>
  </r>
  <r>
    <s v="31289361-4ffe-4e44-91df-b719435286b8"/>
    <s v="Brian May"/>
    <d v="1946-03-06T00:00:00"/>
    <x v="1"/>
    <x v="21"/>
    <s v="Rest"/>
    <s v="Advised RICE (Rest, Ice, Compression, Elevation) protocol."/>
    <d v="2023-05-15T00:00:00"/>
    <d v="2023-06-04T00:00:00"/>
    <n v="1941.91"/>
    <n v="20"/>
    <x v="5"/>
    <x v="1"/>
    <n v="77"/>
  </r>
  <r>
    <s v="c7c7c8fd-e890-4839-9256-a03c58ef8ac9"/>
    <s v="Charles Clarke"/>
    <d v="2023-01-27T00:00:00"/>
    <x v="0"/>
    <x v="14"/>
    <s v="Medication"/>
    <s v="Follow-up in two weeks to monitor blood pressure."/>
    <d v="2024-03-06T00:00:00"/>
    <d v="2024-03-10T00:00:00"/>
    <n v="1941.64"/>
    <n v="4"/>
    <x v="10"/>
    <x v="3"/>
    <n v="1"/>
  </r>
  <r>
    <s v="2c4c0dad-96f5-430f-8579-1b83d3e8aa04"/>
    <s v="Cameron Cooper"/>
    <d v="1947-09-03T00:00:00"/>
    <x v="1"/>
    <x v="24"/>
    <s v="Antibiotics"/>
    <s v="Prescribed cough medicine and advised rest."/>
    <d v="2022-04-25T00:00:00"/>
    <d v="2022-04-27T00:00:00"/>
    <n v="1939.73"/>
    <n v="2"/>
    <x v="9"/>
    <x v="0"/>
    <n v="74"/>
  </r>
  <r>
    <s v="6c34f90f-ae0d-44c0-b5b9-acfa1e78b46d"/>
    <s v="Kenneth Horn"/>
    <d v="1968-09-17T00:00:00"/>
    <x v="1"/>
    <x v="14"/>
    <s v="Medication"/>
    <s v="Follow-up in two weeks to monitor blood pressure."/>
    <d v="2024-06-03T00:00:00"/>
    <d v="2024-06-11T00:00:00"/>
    <n v="1936.38"/>
    <n v="8"/>
    <x v="4"/>
    <x v="3"/>
    <n v="55"/>
  </r>
  <r>
    <s v="c699a543-f050-426a-b13b-16417363197c"/>
    <s v="Ellen Walker"/>
    <d v="1970-12-16T00:00:00"/>
    <x v="1"/>
    <x v="21"/>
    <s v="Elevation"/>
    <s v="Advised RICE (Rest, Ice, Compression, Elevation) protocol."/>
    <d v="2024-03-04T00:00:00"/>
    <d v="2024-03-28T00:00:00"/>
    <n v="1926.77"/>
    <n v="24"/>
    <x v="10"/>
    <x v="3"/>
    <n v="53"/>
  </r>
  <r>
    <s v="6eef2241-96f6-43c7-af89-c0a1cf9dbe8b"/>
    <s v="Jennifer Wolfe"/>
    <d v="1940-02-23T00:00:00"/>
    <x v="1"/>
    <x v="17"/>
    <s v="Medication"/>
    <s v="Advised to avoid known asthma triggers."/>
    <d v="2021-08-30T00:00:00"/>
    <d v="2021-08-31T00:00:00"/>
    <n v="1924.29"/>
    <n v="1"/>
    <x v="7"/>
    <x v="2"/>
    <n v="81"/>
  </r>
  <r>
    <s v="b39ea9cf-ea0c-42df-938e-a94014ed40c7"/>
    <s v="Joshua Kidd"/>
    <d v="1954-06-25T00:00:00"/>
    <x v="1"/>
    <x v="23"/>
    <s v="Pain Relief Medication"/>
    <s v="Prescribed medication for immediate pain relief."/>
    <d v="2024-02-18T00:00:00"/>
    <d v="2024-03-02T00:00:00"/>
    <n v="1921.61"/>
    <n v="13"/>
    <x v="11"/>
    <x v="3"/>
    <n v="69"/>
  </r>
  <r>
    <s v="3758b02b-920b-460f-bc02-c30fcdd28ce2"/>
    <s v="Rebecca Stevenson"/>
    <d v="1962-01-28T00:00:00"/>
    <x v="1"/>
    <x v="25"/>
    <s v="Medication"/>
    <s v="Symptomatic treatment for nausea and vomiting."/>
    <d v="2023-04-09T00:00:00"/>
    <d v="2023-04-21T00:00:00"/>
    <n v="1895.72"/>
    <n v="12"/>
    <x v="9"/>
    <x v="1"/>
    <n v="61"/>
  </r>
  <r>
    <s v="c5e18e48-1ff1-4209-9d65-42c81674b669"/>
    <s v="Christopher Garcia"/>
    <d v="1934-09-16T00:00:00"/>
    <x v="0"/>
    <x v="17"/>
    <s v="Medication"/>
    <s v="Patient instructed on proper inhaler technique."/>
    <d v="2021-07-31T00:00:00"/>
    <d v="2021-08-15T00:00:00"/>
    <n v="1892.46"/>
    <n v="15"/>
    <x v="2"/>
    <x v="2"/>
    <n v="86"/>
  </r>
  <r>
    <s v="7c492bab-c296-4e24-9916-a0ec05c68edb"/>
    <s v="Olivia Miller"/>
    <d v="1979-12-25T00:00:00"/>
    <x v="0"/>
    <x v="22"/>
    <s v="Hydration"/>
    <s v="Started on antibiotics to treat infection."/>
    <d v="2022-02-13T00:00:00"/>
    <d v="2022-03-03T00:00:00"/>
    <n v="1889"/>
    <n v="18"/>
    <x v="11"/>
    <x v="0"/>
    <n v="42"/>
  </r>
  <r>
    <s v="69e5cab7-0543-40f3-91db-24f32fa34d33"/>
    <s v="Daniel Jackson"/>
    <d v="1976-04-16T00:00:00"/>
    <x v="1"/>
    <x v="17"/>
    <s v="Inhalers"/>
    <s v="Advised to avoid known asthma triggers."/>
    <d v="2024-03-20T00:00:00"/>
    <d v="2024-04-01T00:00:00"/>
    <n v="1887.36"/>
    <n v="12"/>
    <x v="10"/>
    <x v="3"/>
    <n v="47"/>
  </r>
  <r>
    <s v="4e7edd8d-b666-4b41-8bb0-df367f9c7d69"/>
    <s v="Richard Johnson"/>
    <d v="1941-07-20T00:00:00"/>
    <x v="1"/>
    <x v="24"/>
    <s v="Antibiotics"/>
    <s v="Started on antibiotics for bacterial infection."/>
    <d v="2023-10-09T00:00:00"/>
    <d v="2023-11-07T00:00:00"/>
    <n v="1885.12"/>
    <n v="29"/>
    <x v="8"/>
    <x v="1"/>
    <n v="82"/>
  </r>
  <r>
    <s v="b85bd9c6-5ce1-46b5-8f6f-c00f3a7c5e28"/>
    <s v="Michael Smith"/>
    <d v="2017-01-02T00:00:00"/>
    <x v="0"/>
    <x v="24"/>
    <s v="Rest"/>
    <s v="Prescribed cough medicine and advised rest."/>
    <d v="2021-10-23T00:00:00"/>
    <d v="2021-11-06T00:00:00"/>
    <n v="1875.02"/>
    <n v="14"/>
    <x v="8"/>
    <x v="2"/>
    <n v="4"/>
  </r>
  <r>
    <s v="efe1232d-b7d1-44a0-84af-be1faf377d3f"/>
    <s v="Steven Haley"/>
    <d v="1930-10-01T00:00:00"/>
    <x v="0"/>
    <x v="18"/>
    <s v="Rest"/>
    <s v="Monitor for any worsening of symptoms."/>
    <d v="2023-06-27T00:00:00"/>
    <d v="2023-07-09T00:00:00"/>
    <n v="1859.36"/>
    <n v="12"/>
    <x v="4"/>
    <x v="1"/>
    <n v="92"/>
  </r>
  <r>
    <s v="f929577d-e5c5-44ec-8c61-aaec2ce2d231"/>
    <s v="Randy Johnson"/>
    <d v="1983-05-12T00:00:00"/>
    <x v="0"/>
    <x v="19"/>
    <s v="Decongestants"/>
    <s v="Started on antibiotics for bacterial infection."/>
    <d v="2022-06-11T00:00:00"/>
    <d v="2022-07-11T00:00:00"/>
    <n v="1841.93"/>
    <n v="30"/>
    <x v="4"/>
    <x v="0"/>
    <n v="39"/>
  </r>
  <r>
    <s v="dacab2f9-c27b-4911-9e6b-a6d64bf0728c"/>
    <s v="Antonio Ferguson"/>
    <d v="1940-05-29T00:00:00"/>
    <x v="1"/>
    <x v="23"/>
    <s v="Lifestyle Changes"/>
    <s v="Advised on lifestyle changes to reduce migraine triggers."/>
    <d v="2021-11-10T00:00:00"/>
    <d v="2021-11-29T00:00:00"/>
    <n v="1835.77"/>
    <n v="19"/>
    <x v="3"/>
    <x v="2"/>
    <n v="81"/>
  </r>
  <r>
    <s v="720a3a8a-5340-4e63-8c42-105adc72486c"/>
    <s v="Brooke Miller"/>
    <d v="1942-09-19T00:00:00"/>
    <x v="0"/>
    <x v="24"/>
    <s v="Antibiotics"/>
    <s v="Prescribed cough medicine and advised rest."/>
    <d v="2023-02-10T00:00:00"/>
    <d v="2023-02-14T00:00:00"/>
    <n v="1834.53"/>
    <n v="4"/>
    <x v="11"/>
    <x v="1"/>
    <n v="80"/>
  </r>
  <r>
    <s v="79ebd281-a4ea-43ca-80a0-939e33f6555e"/>
    <s v="Mark Gomez"/>
    <d v="1923-12-18T00:00:00"/>
    <x v="0"/>
    <x v="22"/>
    <s v="Antibiotics"/>
    <s v="Advised increased fluid intake."/>
    <d v="2023-07-29T00:00:00"/>
    <d v="2023-08-05T00:00:00"/>
    <n v="1819.36"/>
    <n v="7"/>
    <x v="2"/>
    <x v="1"/>
    <n v="99"/>
  </r>
  <r>
    <s v="0170b5eb-87bf-46ba-9fea-afe5fc86b47a"/>
    <s v="Kristen Hill DDS"/>
    <d v="1964-05-14T00:00:00"/>
    <x v="1"/>
    <x v="23"/>
    <s v="Lifestyle Changes"/>
    <s v="Prescribed medication for immediate pain relief."/>
    <d v="2022-08-14T00:00:00"/>
    <d v="2022-08-25T00:00:00"/>
    <n v="1809.68"/>
    <n v="11"/>
    <x v="7"/>
    <x v="0"/>
    <n v="58"/>
  </r>
  <r>
    <s v="bfd99b50-69b5-4c25-b7e1-f47ecc133890"/>
    <s v="Laura Hill"/>
    <d v="1985-03-21T00:00:00"/>
    <x v="0"/>
    <x v="14"/>
    <s v="Medication"/>
    <s v="Follow-up in two weeks to monitor blood pressure."/>
    <d v="2022-08-27T00:00:00"/>
    <d v="2022-09-15T00:00:00"/>
    <n v="1797.53"/>
    <n v="19"/>
    <x v="7"/>
    <x v="0"/>
    <n v="37"/>
  </r>
  <r>
    <s v="e29a7c21-21e4-470f-a46f-7d95a622150b"/>
    <s v="Russell Kelley"/>
    <d v="2017-04-25T00:00:00"/>
    <x v="0"/>
    <x v="24"/>
    <s v="Antibiotics"/>
    <s v="Prescribed cough medicine and advised rest."/>
    <d v="2023-04-26T00:00:00"/>
    <d v="2023-04-28T00:00:00"/>
    <n v="1795.18"/>
    <n v="2"/>
    <x v="9"/>
    <x v="1"/>
    <n v="6"/>
  </r>
  <r>
    <s v="adfe3bad-8c26-4e27-8f6e-9741bfed14ff"/>
    <s v="Megan Waters"/>
    <d v="1985-09-15T00:00:00"/>
    <x v="0"/>
    <x v="22"/>
    <s v="Antibiotics"/>
    <s v="Started on antibiotics to treat infection."/>
    <d v="2022-05-14T00:00:00"/>
    <d v="2022-06-02T00:00:00"/>
    <n v="1792.52"/>
    <n v="19"/>
    <x v="5"/>
    <x v="0"/>
    <n v="36"/>
  </r>
  <r>
    <s v="139eeba3-992a-48da-b97e-6d2ae229957d"/>
    <s v="Heather Vargas"/>
    <d v="1988-04-03T00:00:00"/>
    <x v="1"/>
    <x v="24"/>
    <s v="Rest"/>
    <s v="Prescribed cough medicine and advised rest."/>
    <d v="2023-09-18T00:00:00"/>
    <d v="2023-09-23T00:00:00"/>
    <n v="1787.53"/>
    <n v="5"/>
    <x v="6"/>
    <x v="1"/>
    <n v="35"/>
  </r>
  <r>
    <s v="2518beb3-0b40-42e3-9984-6e60fc6aaf06"/>
    <s v="James Morgan"/>
    <d v="1998-11-17T00:00:00"/>
    <x v="0"/>
    <x v="18"/>
    <s v="Antiviral Drugs"/>
    <s v="Prescribed antiviral medication; start immediately."/>
    <d v="2023-02-13T00:00:00"/>
    <d v="2023-03-03T00:00:00"/>
    <n v="1782.6"/>
    <n v="18"/>
    <x v="11"/>
    <x v="1"/>
    <n v="24"/>
  </r>
  <r>
    <s v="ef85177f-f933-4f60-aefe-6979e35c709a"/>
    <s v="Rachel Perez"/>
    <d v="1987-11-27T00:00:00"/>
    <x v="0"/>
    <x v="22"/>
    <s v="Hydration"/>
    <s v="Monitor for any signs of worsening symptoms."/>
    <d v="2021-07-14T00:00:00"/>
    <d v="2021-08-06T00:00:00"/>
    <n v="1765.14"/>
    <n v="23"/>
    <x v="2"/>
    <x v="2"/>
    <n v="33"/>
  </r>
  <r>
    <s v="0e32cdae-887c-4888-93af-39cdf86507ed"/>
    <s v="Allen Kennedy"/>
    <d v="2002-01-15T00:00:00"/>
    <x v="1"/>
    <x v="19"/>
    <s v="Decongestants"/>
    <s v="Started on antibiotics for bacterial infection."/>
    <d v="2024-03-24T00:00:00"/>
    <d v="2024-03-26T00:00:00"/>
    <n v="1742.78"/>
    <n v="2"/>
    <x v="10"/>
    <x v="3"/>
    <n v="22"/>
  </r>
  <r>
    <s v="f503be99-a773-4215-9e0e-6c20591ad64e"/>
    <s v="Chad Schroeder DDS"/>
    <d v="1951-07-06T00:00:00"/>
    <x v="0"/>
    <x v="16"/>
    <s v="Therapy"/>
    <s v="Follow-up to assess effectiveness of treatment."/>
    <d v="2022-09-22T00:00:00"/>
    <d v="2022-10-12T00:00:00"/>
    <n v="1739.14"/>
    <n v="20"/>
    <x v="6"/>
    <x v="0"/>
    <n v="71"/>
  </r>
  <r>
    <s v="12d1e486-3cc5-4b71-b501-c2209f83dbc0"/>
    <s v="Calvin Alexander"/>
    <d v="1990-11-03T00:00:00"/>
    <x v="0"/>
    <x v="18"/>
    <s v="Antiviral Drugs"/>
    <s v="Advised rest and maintain hydration."/>
    <d v="2021-12-02T00:00:00"/>
    <d v="2021-12-28T00:00:00"/>
    <n v="1725.45"/>
    <n v="26"/>
    <x v="0"/>
    <x v="2"/>
    <n v="31"/>
  </r>
  <r>
    <s v="f8addd8b-fd12-4c53-a652-6732496395c4"/>
    <s v="Stacy Williams"/>
    <d v="1995-02-12T00:00:00"/>
    <x v="0"/>
    <x v="23"/>
    <s v="Pain Relief Medication"/>
    <s v="Prescribed medication for immediate pain relief."/>
    <d v="2021-08-21T00:00:00"/>
    <d v="2021-09-15T00:00:00"/>
    <n v="1719.63"/>
    <n v="25"/>
    <x v="7"/>
    <x v="2"/>
    <n v="26"/>
  </r>
  <r>
    <s v="8c1329b5-59e6-4116-954a-88ca9cf6e7e8"/>
    <s v="James Foster"/>
    <d v="1923-09-17T00:00:00"/>
    <x v="1"/>
    <x v="24"/>
    <s v="Antibiotics"/>
    <s v="Started on antibiotics for bacterial infection."/>
    <d v="2022-06-23T00:00:00"/>
    <d v="2022-07-16T00:00:00"/>
    <n v="1707.7"/>
    <n v="23"/>
    <x v="4"/>
    <x v="0"/>
    <n v="98"/>
  </r>
  <r>
    <s v="8007c165-af68-419c-b7dc-79c9fcc7798f"/>
    <s v="Brenda Peterson"/>
    <d v="2005-05-19T00:00:00"/>
    <x v="0"/>
    <x v="18"/>
    <s v="Hydration"/>
    <s v="Monitor for any worsening of symptoms."/>
    <d v="2023-09-13T00:00:00"/>
    <d v="2023-09-19T00:00:00"/>
    <n v="1697.66"/>
    <n v="6"/>
    <x v="6"/>
    <x v="1"/>
    <n v="18"/>
  </r>
  <r>
    <s v="83da638a-99fe-48ef-bab3-9c3d2560caaa"/>
    <s v="Melanie Bradshaw"/>
    <d v="1989-04-04T00:00:00"/>
    <x v="1"/>
    <x v="17"/>
    <s v="Medication"/>
    <s v="Patient instructed on proper inhaler technique."/>
    <d v="2024-05-29T00:00:00"/>
    <d v="2024-05-30T00:00:00"/>
    <n v="1694.78"/>
    <n v="1"/>
    <x v="5"/>
    <x v="3"/>
    <n v="35"/>
  </r>
  <r>
    <s v="3c2c167f-d640-4c1d-99d5-0c922198f022"/>
    <s v="Scott Morrison"/>
    <d v="1964-02-15T00:00:00"/>
    <x v="1"/>
    <x v="25"/>
    <s v="Medication"/>
    <s v="Symptomatic treatment for nausea and vomiting."/>
    <d v="2024-01-24T00:00:00"/>
    <d v="2024-02-11T00:00:00"/>
    <n v="1680.06"/>
    <n v="18"/>
    <x v="1"/>
    <x v="3"/>
    <n v="59"/>
  </r>
  <r>
    <s v="18a136c5-6b69-4fd8-a717-3030cf183a4e"/>
    <s v="Heather Walker"/>
    <d v="2019-08-04T00:00:00"/>
    <x v="1"/>
    <x v="18"/>
    <s v="Rest"/>
    <s v="Advised rest and maintain hydration."/>
    <d v="2022-10-11T00:00:00"/>
    <d v="2022-11-02T00:00:00"/>
    <n v="1675.47"/>
    <n v="22"/>
    <x v="8"/>
    <x v="0"/>
    <n v="3"/>
  </r>
  <r>
    <s v="89ac0664-a479-400e-8ea5-544d5c72c412"/>
    <s v="Michael Webb"/>
    <d v="1941-01-19T00:00:00"/>
    <x v="1"/>
    <x v="16"/>
    <s v="Antidepressants"/>
    <s v="Prescribed antidepressant medication."/>
    <d v="2023-02-01T00:00:00"/>
    <d v="2023-02-28T00:00:00"/>
    <n v="1662.39"/>
    <n v="27"/>
    <x v="11"/>
    <x v="1"/>
    <n v="82"/>
  </r>
  <r>
    <s v="7d3d15db-fd0e-42f5-811b-60c5fceb8249"/>
    <s v="Shelly Burnett"/>
    <d v="1924-04-25T00:00:00"/>
    <x v="0"/>
    <x v="22"/>
    <s v="Hydration"/>
    <s v="Started on antibiotics to treat infection."/>
    <d v="2024-01-11T00:00:00"/>
    <d v="2024-01-12T00:00:00"/>
    <n v="1659.98"/>
    <n v="1"/>
    <x v="1"/>
    <x v="3"/>
    <n v="99"/>
  </r>
  <r>
    <s v="5cb11692-ae91-4bc1-baf2-38449ac9c28f"/>
    <s v="Jamie Wright"/>
    <d v="1982-12-02T00:00:00"/>
    <x v="1"/>
    <x v="18"/>
    <s v="Rest"/>
    <s v="Advised rest and maintain hydration."/>
    <d v="2023-02-13T00:00:00"/>
    <d v="2023-03-10T00:00:00"/>
    <n v="1628.87"/>
    <n v="25"/>
    <x v="11"/>
    <x v="1"/>
    <n v="40"/>
  </r>
  <r>
    <s v="c0394d74-81c7-426e-8627-edcf96c61e59"/>
    <s v="William Manning"/>
    <d v="2012-06-07T00:00:00"/>
    <x v="0"/>
    <x v="23"/>
    <s v="Pain Relief Medication"/>
    <s v="Advised on lifestyle changes to reduce migraine triggers."/>
    <d v="2023-12-09T00:00:00"/>
    <d v="2024-01-04T00:00:00"/>
    <n v="1626.8"/>
    <n v="26"/>
    <x v="0"/>
    <x v="1"/>
    <n v="11"/>
  </r>
  <r>
    <s v="15f45b7c-1fbe-4bf5-85a3-36accea7f825"/>
    <s v="Brett Buckley"/>
    <d v="2019-10-15T00:00:00"/>
    <x v="0"/>
    <x v="19"/>
    <s v="Antibiotics"/>
    <s v="Prescribed decongestants to relieve sinus pressure."/>
    <d v="2021-11-26T00:00:00"/>
    <d v="2021-12-03T00:00:00"/>
    <n v="1624.42"/>
    <n v="7"/>
    <x v="3"/>
    <x v="2"/>
    <n v="2"/>
  </r>
  <r>
    <s v="f08409ff-4f09-4700-8459-214b77d639f6"/>
    <s v="Alexander Kelly"/>
    <d v="1985-10-20T00:00:00"/>
    <x v="1"/>
    <x v="20"/>
    <s v="Topical Creams"/>
    <s v="Bandaged affected area to protect from further injury."/>
    <d v="2022-01-01T00:00:00"/>
    <d v="2022-01-06T00:00:00"/>
    <n v="1624.05"/>
    <n v="5"/>
    <x v="1"/>
    <x v="0"/>
    <n v="36"/>
  </r>
  <r>
    <s v="926da6f4-6393-467b-920a-2d25d3c6059c"/>
    <s v="Kevin Leblanc"/>
    <d v="1936-07-26T00:00:00"/>
    <x v="1"/>
    <x v="21"/>
    <s v="Ice"/>
    <s v="Monitor for any signs of worsening symptoms."/>
    <d v="2023-08-26T00:00:00"/>
    <d v="2023-09-12T00:00:00"/>
    <n v="1623.21"/>
    <n v="17"/>
    <x v="7"/>
    <x v="1"/>
    <n v="87"/>
  </r>
  <r>
    <s v="a9f418b3-2657-4c62-a2ad-29d6cbd9549a"/>
    <s v="Cynthia Cook"/>
    <d v="1962-09-29T00:00:00"/>
    <x v="0"/>
    <x v="19"/>
    <s v="Antibiotics"/>
    <s v="Started on antibiotics for bacterial infection."/>
    <d v="2022-03-14T00:00:00"/>
    <d v="2022-03-15T00:00:00"/>
    <n v="1617.87"/>
    <n v="1"/>
    <x v="10"/>
    <x v="0"/>
    <n v="59"/>
  </r>
  <r>
    <s v="e13ba45c-c8b9-4159-b3dc-8381b2a7c8f2"/>
    <s v="Toni Ross"/>
    <d v="1935-12-28T00:00:00"/>
    <x v="0"/>
    <x v="16"/>
    <s v="Antidepressants"/>
    <s v="Follow-up to assess effectiveness of treatment."/>
    <d v="2022-01-04T00:00:00"/>
    <d v="2022-01-21T00:00:00"/>
    <n v="1604.15"/>
    <n v="17"/>
    <x v="1"/>
    <x v="0"/>
    <n v="86"/>
  </r>
  <r>
    <s v="263b5bd2-be19-4d07-a54b-afce09506604"/>
    <s v="Stephanie Mcdowell"/>
    <d v="1996-11-12T00:00:00"/>
    <x v="1"/>
    <x v="14"/>
    <s v="Lifestyle Changes"/>
    <s v="Follow-up in two weeks to monitor blood pressure."/>
    <d v="2023-01-20T00:00:00"/>
    <d v="2023-02-19T00:00:00"/>
    <n v="1603.71"/>
    <n v="30"/>
    <x v="1"/>
    <x v="1"/>
    <n v="26"/>
  </r>
  <r>
    <s v="d00ed138-4b26-4364-8259-4c9f9ac14db5"/>
    <s v="Donna Gardner"/>
    <d v="2021-08-28T00:00:00"/>
    <x v="1"/>
    <x v="17"/>
    <s v="Inhalers"/>
    <s v="Advised to avoid known asthma triggers."/>
    <d v="2021-09-02T00:00:00"/>
    <d v="2021-09-04T00:00:00"/>
    <n v="1601.55"/>
    <n v="2"/>
    <x v="6"/>
    <x v="2"/>
    <n v="0"/>
  </r>
  <r>
    <s v="06bd122e-c961-4271-a44a-1b001cd28bc3"/>
    <s v="John Williams"/>
    <d v="1933-03-02T00:00:00"/>
    <x v="0"/>
    <x v="20"/>
    <s v="Bandaging"/>
    <s v="Prescribed pain relief medication."/>
    <d v="2022-12-14T00:00:00"/>
    <d v="2022-12-15T00:00:00"/>
    <n v="1597.25"/>
    <n v="1"/>
    <x v="0"/>
    <x v="0"/>
    <n v="89"/>
  </r>
  <r>
    <s v="c6abf0dd-ae38-4434-b55f-f18689caca7a"/>
    <s v="Lucas Paul"/>
    <d v="1964-09-08T00:00:00"/>
    <x v="0"/>
    <x v="23"/>
    <s v="Lifestyle Changes"/>
    <s v="Advised on lifestyle changes to reduce migraine triggers."/>
    <d v="2022-06-11T00:00:00"/>
    <d v="2022-06-16T00:00:00"/>
    <n v="1595.83"/>
    <n v="5"/>
    <x v="4"/>
    <x v="0"/>
    <n v="57"/>
  </r>
  <r>
    <s v="3a8addcb-c665-47ce-bd77-85cda775699b"/>
    <s v="Sarah Taylor"/>
    <d v="1988-04-27T00:00:00"/>
    <x v="0"/>
    <x v="22"/>
    <s v="Hydration"/>
    <s v="Monitor for any signs of worsening symptoms."/>
    <d v="2023-06-25T00:00:00"/>
    <d v="2023-07-09T00:00:00"/>
    <n v="1593.23"/>
    <n v="14"/>
    <x v="4"/>
    <x v="1"/>
    <n v="35"/>
  </r>
  <r>
    <s v="7e871717-f3bb-4900-8c82-2707e2f0763f"/>
    <s v="Charles Cooper"/>
    <d v="1924-10-27T00:00:00"/>
    <x v="1"/>
    <x v="22"/>
    <s v="Antibiotics"/>
    <s v="Advised increased fluid intake."/>
    <d v="2023-02-12T00:00:00"/>
    <d v="2023-02-24T00:00:00"/>
    <n v="1568.38"/>
    <n v="12"/>
    <x v="11"/>
    <x v="1"/>
    <n v="98"/>
  </r>
  <r>
    <s v="0893db29-4e66-4c90-b7fe-638135bf5ae6"/>
    <s v="Courtney Lopez"/>
    <d v="2018-06-11T00:00:00"/>
    <x v="1"/>
    <x v="23"/>
    <s v="Lifestyle Changes"/>
    <s v="Prescribed medication for immediate pain relief."/>
    <d v="2023-01-28T00:00:00"/>
    <d v="2023-02-02T00:00:00"/>
    <n v="1568.33"/>
    <n v="5"/>
    <x v="1"/>
    <x v="1"/>
    <n v="4"/>
  </r>
  <r>
    <s v="3aa7d111-53ac-4c17-aeb9-2737328ffe38"/>
    <s v="Sarah Horton"/>
    <d v="1934-08-25T00:00:00"/>
    <x v="1"/>
    <x v="24"/>
    <s v="Cough Medicine"/>
    <s v="Started on antibiotics for bacterial infection."/>
    <d v="2022-08-12T00:00:00"/>
    <d v="2022-08-26T00:00:00"/>
    <n v="1561.71"/>
    <n v="14"/>
    <x v="7"/>
    <x v="0"/>
    <n v="87"/>
  </r>
  <r>
    <s v="906091a8-4349-49a3-9bfb-60639b4080df"/>
    <s v="Kevin Ortiz"/>
    <d v="1999-02-04T00:00:00"/>
    <x v="0"/>
    <x v="18"/>
    <s v="Antiviral Drugs"/>
    <s v="Prescribed antiviral medication; start immediately."/>
    <d v="2023-08-03T00:00:00"/>
    <d v="2023-08-15T00:00:00"/>
    <n v="1559.68"/>
    <n v="12"/>
    <x v="7"/>
    <x v="1"/>
    <n v="24"/>
  </r>
  <r>
    <s v="848ca2d3-9cdd-4a06-86ec-7c9790169084"/>
    <s v="Alyssa Cross"/>
    <d v="2019-05-17T00:00:00"/>
    <x v="0"/>
    <x v="18"/>
    <s v="Antiviral Drugs"/>
    <s v="Prescribed antiviral medication; start immediately."/>
    <d v="2023-11-29T00:00:00"/>
    <d v="2023-12-16T00:00:00"/>
    <n v="1549.45"/>
    <n v="17"/>
    <x v="3"/>
    <x v="1"/>
    <n v="4"/>
  </r>
  <r>
    <s v="ba0554f1-ba03-4e46-b43f-309fee0680ed"/>
    <s v="Kenneth Murphy"/>
    <d v="1969-01-15T00:00:00"/>
    <x v="1"/>
    <x v="23"/>
    <s v="Lifestyle Changes"/>
    <s v="Advised on lifestyle changes to reduce migraine triggers."/>
    <d v="2023-04-15T00:00:00"/>
    <d v="2023-04-20T00:00:00"/>
    <n v="1510.13"/>
    <n v="5"/>
    <x v="9"/>
    <x v="1"/>
    <n v="54"/>
  </r>
  <r>
    <s v="35a5e232-287b-47b4-a06e-2e644a254366"/>
    <s v="James Williams"/>
    <d v="2009-07-16T00:00:00"/>
    <x v="1"/>
    <x v="25"/>
    <s v="Rehydration Therapy"/>
    <s v="Prescribed rehydration solution and advised rest."/>
    <d v="2022-06-08T00:00:00"/>
    <d v="2022-07-04T00:00:00"/>
    <n v="1507.93"/>
    <n v="26"/>
    <x v="4"/>
    <x v="0"/>
    <n v="12"/>
  </r>
  <r>
    <s v="b5d05d69-fc85-498d-a503-b5d9621f07fd"/>
    <s v="Lisa Obrien"/>
    <d v="1977-08-11T00:00:00"/>
    <x v="1"/>
    <x v="24"/>
    <s v="Rest"/>
    <s v="Started on antibiotics for bacterial infection."/>
    <d v="2022-08-03T00:00:00"/>
    <d v="2022-08-20T00:00:00"/>
    <n v="1499.59"/>
    <n v="17"/>
    <x v="7"/>
    <x v="0"/>
    <n v="44"/>
  </r>
  <r>
    <s v="d6a92bf0-b93c-48e2-95f1-50f4a9e9c2e6"/>
    <s v="Susan Koch"/>
    <d v="1929-12-01T00:00:00"/>
    <x v="1"/>
    <x v="21"/>
    <s v="Rest"/>
    <s v="Monitor for any signs of worsening symptoms."/>
    <d v="2023-09-06T00:00:00"/>
    <d v="2023-10-04T00:00:00"/>
    <n v="1497.04"/>
    <n v="28"/>
    <x v="6"/>
    <x v="1"/>
    <n v="93"/>
  </r>
  <r>
    <s v="72fdbeb5-f522-4388-b5eb-52870bfc4739"/>
    <s v="Vanessa Burgess"/>
    <d v="1935-05-12T00:00:00"/>
    <x v="1"/>
    <x v="25"/>
    <s v="Rehydration Therapy"/>
    <s v="Symptomatic treatment for nausea and vomiting."/>
    <d v="2023-07-21T00:00:00"/>
    <d v="2023-07-22T00:00:00"/>
    <n v="1487.96"/>
    <n v="1"/>
    <x v="2"/>
    <x v="1"/>
    <n v="88"/>
  </r>
  <r>
    <s v="74f1e2d1-0bfe-47d6-b5d6-2ab4c0fd1d48"/>
    <s v="Barbara Gibson"/>
    <d v="2007-03-19T00:00:00"/>
    <x v="0"/>
    <x v="22"/>
    <s v="Hydration"/>
    <s v="Started on antibiotics to treat infection."/>
    <d v="2021-12-15T00:00:00"/>
    <d v="2021-12-29T00:00:00"/>
    <n v="1450.62"/>
    <n v="14"/>
    <x v="0"/>
    <x v="2"/>
    <n v="14"/>
  </r>
  <r>
    <s v="3a00f90a-962c-4171-9650-beb4e20ecc25"/>
    <s v="Kevin Thompson"/>
    <d v="1940-09-26T00:00:00"/>
    <x v="1"/>
    <x v="23"/>
    <s v="Lifestyle Changes"/>
    <s v="Prescribed medication for immediate pain relief."/>
    <d v="2022-05-27T00:00:00"/>
    <d v="2022-06-05T00:00:00"/>
    <n v="1444.81"/>
    <n v="9"/>
    <x v="5"/>
    <x v="0"/>
    <n v="81"/>
  </r>
  <r>
    <s v="7b6a962b-090e-4db2-aaa4-68089733732e"/>
    <s v="Rebecca Kane"/>
    <d v="2004-04-24T00:00:00"/>
    <x v="1"/>
    <x v="16"/>
    <s v="Antidepressants"/>
    <s v="Prescribed antidepressant medication."/>
    <d v="2023-12-11T00:00:00"/>
    <d v="2023-12-30T00:00:00"/>
    <n v="1442.51"/>
    <n v="19"/>
    <x v="0"/>
    <x v="1"/>
    <n v="19"/>
  </r>
  <r>
    <s v="a4f7b0c7-5e10-4f15-958a-a9ebe36ec899"/>
    <s v="Jeremy Moses"/>
    <d v="1997-09-09T00:00:00"/>
    <x v="0"/>
    <x v="23"/>
    <s v="Pain Relief Medication"/>
    <s v="Advised on lifestyle changes to reduce migraine triggers."/>
    <d v="2023-02-26T00:00:00"/>
    <d v="2023-03-08T00:00:00"/>
    <n v="1442.3"/>
    <n v="10"/>
    <x v="11"/>
    <x v="1"/>
    <n v="25"/>
  </r>
  <r>
    <s v="125b327b-a770-472d-96a1-07e61fe7c01f"/>
    <s v="Amber Aguirre"/>
    <d v="1999-08-18T00:00:00"/>
    <x v="0"/>
    <x v="23"/>
    <s v="Pain Relief Medication"/>
    <s v="Advised on lifestyle changes to reduce migraine triggers."/>
    <d v="2023-11-22T00:00:00"/>
    <d v="2023-11-27T00:00:00"/>
    <n v="1442.24"/>
    <n v="5"/>
    <x v="3"/>
    <x v="1"/>
    <n v="24"/>
  </r>
  <r>
    <s v="a759a3ff-deee-4161-92a2-593c0426b3a2"/>
    <s v="Tamara Gomez"/>
    <d v="2016-08-30T00:00:00"/>
    <x v="1"/>
    <x v="20"/>
    <s v="Topical Creams"/>
    <s v="Prescribed pain relief medication."/>
    <d v="2022-10-04T00:00:00"/>
    <d v="2022-11-02T00:00:00"/>
    <n v="1437.46"/>
    <n v="29"/>
    <x v="8"/>
    <x v="0"/>
    <n v="6"/>
  </r>
  <r>
    <s v="81423dd0-58ba-4b4a-a73d-761e8c9f1539"/>
    <s v="Nicholas Newman"/>
    <d v="1966-12-23T00:00:00"/>
    <x v="0"/>
    <x v="18"/>
    <s v="Rest"/>
    <s v="Monitor for any worsening of symptoms."/>
    <d v="2024-02-04T00:00:00"/>
    <d v="2024-03-05T00:00:00"/>
    <n v="1412.36"/>
    <n v="30"/>
    <x v="11"/>
    <x v="3"/>
    <n v="57"/>
  </r>
  <r>
    <s v="b839c1b8-16a8-41f2-8e7d-77849028d58c"/>
    <s v="Laura Hughes"/>
    <d v="1957-07-16T00:00:00"/>
    <x v="0"/>
    <x v="24"/>
    <s v="Antibiotics"/>
    <s v="Prescribed cough medicine and advised rest."/>
    <d v="2023-02-09T00:00:00"/>
    <d v="2023-02-18T00:00:00"/>
    <n v="1406.65"/>
    <n v="9"/>
    <x v="11"/>
    <x v="1"/>
    <n v="65"/>
  </r>
  <r>
    <s v="a0fbd8a7-c428-4c91-8c50-2c63370d2f01"/>
    <s v="Whitney Matthews DVM"/>
    <d v="2019-07-17T00:00:00"/>
    <x v="0"/>
    <x v="24"/>
    <s v="Antibiotics"/>
    <s v="Monitor for any signs of worsening respiratory symptoms."/>
    <d v="2022-04-05T00:00:00"/>
    <d v="2022-04-11T00:00:00"/>
    <n v="1404.21"/>
    <n v="6"/>
    <x v="9"/>
    <x v="0"/>
    <n v="2"/>
  </r>
  <r>
    <s v="7674e861-d7ad-438f-9257-41116bff61f0"/>
    <s v="Laura Allen"/>
    <d v="1991-09-16T00:00:00"/>
    <x v="0"/>
    <x v="18"/>
    <s v="Antiviral Drugs"/>
    <s v="Prescribed antiviral medication; start immediately."/>
    <d v="2023-05-03T00:00:00"/>
    <d v="2023-05-29T00:00:00"/>
    <n v="1395.34"/>
    <n v="26"/>
    <x v="5"/>
    <x v="1"/>
    <n v="31"/>
  </r>
  <r>
    <s v="e6875809-6edc-4e62-b1ae-c10c36d5c5a1"/>
    <s v="Kimberly Walker"/>
    <d v="1936-12-31T00:00:00"/>
    <x v="1"/>
    <x v="23"/>
    <s v="Lifestyle Changes"/>
    <s v="Prescribed medication for immediate pain relief."/>
    <d v="2023-03-14T00:00:00"/>
    <d v="2023-04-04T00:00:00"/>
    <n v="1389.07"/>
    <n v="21"/>
    <x v="10"/>
    <x v="1"/>
    <n v="86"/>
  </r>
  <r>
    <s v="3cf7cc92-ec45-4738-8d34-654a640079bb"/>
    <s v="Mr. Scott Bowen"/>
    <d v="1983-07-14T00:00:00"/>
    <x v="1"/>
    <x v="16"/>
    <s v="Therapy"/>
    <s v="Prescribed antidepressant medication."/>
    <d v="2023-09-20T00:00:00"/>
    <d v="2023-10-09T00:00:00"/>
    <n v="1385.07"/>
    <n v="19"/>
    <x v="6"/>
    <x v="1"/>
    <n v="40"/>
  </r>
  <r>
    <s v="3bbfd674-f8c6-49f1-8e24-ea56404c0082"/>
    <s v="Wesley Mayo"/>
    <d v="2018-12-05T00:00:00"/>
    <x v="0"/>
    <x v="18"/>
    <s v="Rest"/>
    <s v="Monitor for any worsening of symptoms."/>
    <d v="2024-01-25T00:00:00"/>
    <d v="2024-02-15T00:00:00"/>
    <n v="1383.73"/>
    <n v="21"/>
    <x v="1"/>
    <x v="3"/>
    <n v="5"/>
  </r>
  <r>
    <s v="81c3305a-d979-4801-a96c-80936035978b"/>
    <s v="Travis Sanchez"/>
    <d v="1989-11-13T00:00:00"/>
    <x v="0"/>
    <x v="14"/>
    <s v="Lifestyle Changes"/>
    <s v="Follow-up in two weeks to monitor blood pressure."/>
    <d v="2023-06-29T00:00:00"/>
    <d v="2023-07-27T00:00:00"/>
    <n v="1376.18"/>
    <n v="28"/>
    <x v="4"/>
    <x v="1"/>
    <n v="33"/>
  </r>
  <r>
    <s v="7157906c-80c7-4f91-8516-4d00d6825061"/>
    <s v="Andrew Taylor"/>
    <d v="2005-10-08T00:00:00"/>
    <x v="1"/>
    <x v="17"/>
    <s v="Inhalers"/>
    <s v="Prescribed bronchodilator for immediate relief."/>
    <d v="2021-09-14T00:00:00"/>
    <d v="2021-10-02T00:00:00"/>
    <n v="1362.26"/>
    <n v="18"/>
    <x v="6"/>
    <x v="2"/>
    <n v="15"/>
  </r>
  <r>
    <s v="03540ba8-2e0b-42df-a7eb-cfef4ace60b7"/>
    <s v="Angel Roman"/>
    <d v="1971-09-15T00:00:00"/>
    <x v="0"/>
    <x v="17"/>
    <s v="Inhalers"/>
    <s v="Prescribed bronchodilator for immediate relief."/>
    <d v="2024-06-03T00:00:00"/>
    <d v="2024-06-25T00:00:00"/>
    <n v="1353.49"/>
    <n v="22"/>
    <x v="4"/>
    <x v="3"/>
    <n v="52"/>
  </r>
  <r>
    <s v="96678228-1329-494f-b18e-204d8bb1571f"/>
    <s v="Karen Wilson"/>
    <d v="1983-04-28T00:00:00"/>
    <x v="0"/>
    <x v="23"/>
    <s v="Pain Relief Medication"/>
    <s v="Advised on lifestyle changes to reduce migraine triggers."/>
    <d v="2021-10-22T00:00:00"/>
    <d v="2021-10-30T00:00:00"/>
    <n v="1348.57"/>
    <n v="8"/>
    <x v="8"/>
    <x v="2"/>
    <n v="38"/>
  </r>
  <r>
    <s v="58778757-e19f-4fe0-8a80-5655e8078e9a"/>
    <s v="Elizabeth Miller"/>
    <d v="1957-02-23T00:00:00"/>
    <x v="1"/>
    <x v="23"/>
    <s v="Pain Relief Medication"/>
    <s v="Follow-up to assess effectiveness of treatment."/>
    <d v="2023-05-12T00:00:00"/>
    <d v="2023-05-15T00:00:00"/>
    <n v="1338.19"/>
    <n v="3"/>
    <x v="5"/>
    <x v="1"/>
    <n v="66"/>
  </r>
  <r>
    <s v="f942053c-a613-451f-baa7-7a9f4cca2952"/>
    <s v="Marc Allen"/>
    <d v="1968-11-11T00:00:00"/>
    <x v="1"/>
    <x v="24"/>
    <s v="Rest"/>
    <s v="Prescribed cough medicine and advised rest."/>
    <d v="2024-01-30T00:00:00"/>
    <d v="2024-02-05T00:00:00"/>
    <n v="1335.47"/>
    <n v="6"/>
    <x v="1"/>
    <x v="3"/>
    <n v="55"/>
  </r>
  <r>
    <s v="e6c144f0-d4a1-4cb1-8ef0-7ecd3789195a"/>
    <s v="Tonya Bradley"/>
    <d v="1927-09-22T00:00:00"/>
    <x v="0"/>
    <x v="19"/>
    <s v="Antibiotics"/>
    <s v="Started on antibiotics for bacterial infection."/>
    <d v="2021-12-28T00:00:00"/>
    <d v="2021-12-30T00:00:00"/>
    <n v="1334.9"/>
    <n v="2"/>
    <x v="0"/>
    <x v="2"/>
    <n v="94"/>
  </r>
  <r>
    <s v="3efdd64c-6f4f-458a-b6ba-e8f11ec1424d"/>
    <s v="Ashley Winters"/>
    <d v="1978-04-16T00:00:00"/>
    <x v="1"/>
    <x v="22"/>
    <s v="Antibiotics"/>
    <s v="Monitor for any signs of worsening symptoms."/>
    <d v="2022-01-28T00:00:00"/>
    <d v="2022-02-23T00:00:00"/>
    <n v="1311.58"/>
    <n v="26"/>
    <x v="1"/>
    <x v="0"/>
    <n v="43"/>
  </r>
  <r>
    <s v="6f37b73c-c576-483e-a773-8f9d49d33b95"/>
    <s v="James Thomas"/>
    <d v="1925-03-25T00:00:00"/>
    <x v="1"/>
    <x v="21"/>
    <s v="Rest"/>
    <s v="Monitor for any signs of worsening symptoms."/>
    <d v="2023-06-15T00:00:00"/>
    <d v="2023-07-08T00:00:00"/>
    <n v="1311.35"/>
    <n v="23"/>
    <x v="4"/>
    <x v="1"/>
    <n v="98"/>
  </r>
  <r>
    <s v="b3e4ad9e-9cad-4c26-b1c2-17082f00e570"/>
    <s v="George Walker"/>
    <d v="1923-10-15T00:00:00"/>
    <x v="0"/>
    <x v="17"/>
    <s v="Inhalers"/>
    <s v="Advised to avoid known asthma triggers."/>
    <d v="2023-08-26T00:00:00"/>
    <d v="2023-09-14T00:00:00"/>
    <n v="1299.07"/>
    <n v="19"/>
    <x v="7"/>
    <x v="1"/>
    <n v="99"/>
  </r>
  <r>
    <s v="5d4f4dbb-3eeb-4e5c-b7cf-b229e1022156"/>
    <s v="Renee Little"/>
    <d v="1961-06-19T00:00:00"/>
    <x v="1"/>
    <x v="22"/>
    <s v="Hydration"/>
    <s v="Started on antibiotics to treat infection."/>
    <d v="2024-03-31T00:00:00"/>
    <d v="2024-04-25T00:00:00"/>
    <n v="1296.31"/>
    <n v="25"/>
    <x v="10"/>
    <x v="3"/>
    <n v="62"/>
  </r>
  <r>
    <s v="7b0f1424-1387-4e93-8447-e08d1f77fd9f"/>
    <s v="Michael Smith"/>
    <d v="1936-06-17T00:00:00"/>
    <x v="1"/>
    <x v="24"/>
    <s v="Antibiotics"/>
    <s v="Monitor for any signs of worsening respiratory symptoms."/>
    <d v="2023-11-19T00:00:00"/>
    <d v="2023-11-22T00:00:00"/>
    <n v="1294.3800000000001"/>
    <n v="3"/>
    <x v="3"/>
    <x v="1"/>
    <n v="87"/>
  </r>
  <r>
    <s v="de57772b-75c3-4325-ab3b-32d059d82e8e"/>
    <s v="Lawrence Morris"/>
    <d v="1925-07-05T00:00:00"/>
    <x v="0"/>
    <x v="21"/>
    <s v="Ice"/>
    <s v="Advised RICE (Rest, Ice, Compression, Elevation) protocol."/>
    <d v="2024-05-19T00:00:00"/>
    <d v="2024-06-04T00:00:00"/>
    <n v="1285.1400000000001"/>
    <n v="16"/>
    <x v="5"/>
    <x v="3"/>
    <n v="98"/>
  </r>
  <r>
    <s v="1c969cfc-5cbe-4c26-a001-c6c6fac3ea26"/>
    <s v="Ryan Campos"/>
    <d v="1979-02-02T00:00:00"/>
    <x v="0"/>
    <x v="18"/>
    <s v="Hydration"/>
    <s v="Prescribed antiviral medication; start immediately."/>
    <d v="2023-03-14T00:00:00"/>
    <d v="2023-04-07T00:00:00"/>
    <n v="1278.33"/>
    <n v="24"/>
    <x v="10"/>
    <x v="1"/>
    <n v="44"/>
  </r>
  <r>
    <s v="a1cc72be-cc2f-48c5-891c-60059b5d139d"/>
    <s v="Kimberly Kim"/>
    <d v="1946-05-28T00:00:00"/>
    <x v="0"/>
    <x v="22"/>
    <s v="Antibiotics"/>
    <s v="Advised increased fluid intake."/>
    <d v="2022-04-21T00:00:00"/>
    <d v="2022-04-22T00:00:00"/>
    <n v="1277.6300000000001"/>
    <n v="1"/>
    <x v="9"/>
    <x v="0"/>
    <n v="75"/>
  </r>
  <r>
    <s v="6cbd143b-bfd0-4b75-b9d7-100939942775"/>
    <s v="Nicholas Wood"/>
    <d v="2000-11-30T00:00:00"/>
    <x v="1"/>
    <x v="14"/>
    <s v="Lifestyle Changes"/>
    <s v="Follow-up in two weeks to monitor blood pressure."/>
    <d v="2022-05-28T00:00:00"/>
    <d v="2022-06-24T00:00:00"/>
    <n v="1275.3499999999999"/>
    <n v="27"/>
    <x v="5"/>
    <x v="0"/>
    <n v="21"/>
  </r>
  <r>
    <s v="04a814bc-4ab0-4c2b-a1c9-47193efa6617"/>
    <s v="Samuel Schneider"/>
    <d v="1991-12-02T00:00:00"/>
    <x v="0"/>
    <x v="23"/>
    <s v="Lifestyle Changes"/>
    <s v="Prescribed medication for immediate pain relief."/>
    <d v="2021-10-21T00:00:00"/>
    <d v="2021-10-23T00:00:00"/>
    <n v="1273.0999999999999"/>
    <n v="2"/>
    <x v="8"/>
    <x v="2"/>
    <n v="29"/>
  </r>
  <r>
    <s v="f9126224-0fd4-4265-a3bd-04b99ab6ede2"/>
    <s v="Cynthia Ramirez"/>
    <d v="1949-04-12T00:00:00"/>
    <x v="1"/>
    <x v="25"/>
    <s v="Medication"/>
    <s v="Monitor for any signs of dehydration."/>
    <d v="2021-12-17T00:00:00"/>
    <d v="2022-01-07T00:00:00"/>
    <n v="1259.94"/>
    <n v="21"/>
    <x v="0"/>
    <x v="2"/>
    <n v="72"/>
  </r>
  <r>
    <s v="e018187a-b1e3-4a70-882d-d72475f9f5b2"/>
    <s v="Andrew Evans"/>
    <d v="1972-04-19T00:00:00"/>
    <x v="1"/>
    <x v="23"/>
    <s v="Pain Relief Medication"/>
    <s v="Advised on lifestyle changes to reduce migraine triggers."/>
    <d v="2024-01-13T00:00:00"/>
    <d v="2024-02-09T00:00:00"/>
    <n v="1256.6300000000001"/>
    <n v="27"/>
    <x v="1"/>
    <x v="3"/>
    <n v="51"/>
  </r>
  <r>
    <s v="6ec0dd32-8906-4882-83c5-a4c023cacb2d"/>
    <s v="Michael Parrish"/>
    <d v="1986-12-23T00:00:00"/>
    <x v="0"/>
    <x v="19"/>
    <s v="Decongestants"/>
    <s v="Started on antibiotics for bacterial infection."/>
    <d v="2024-06-12T00:00:00"/>
    <d v="2024-06-29T00:00:00"/>
    <n v="1253.78"/>
    <n v="17"/>
    <x v="4"/>
    <x v="3"/>
    <n v="37"/>
  </r>
  <r>
    <s v="3697acf3-4404-492c-bed1-8daaafccbfad"/>
    <s v="Miguel Long"/>
    <d v="1965-12-17T00:00:00"/>
    <x v="1"/>
    <x v="24"/>
    <s v="Rest"/>
    <s v="Started on antibiotics for bacterial infection."/>
    <d v="2022-02-15T00:00:00"/>
    <d v="2022-02-16T00:00:00"/>
    <n v="1251.96"/>
    <n v="1"/>
    <x v="11"/>
    <x v="0"/>
    <n v="56"/>
  </r>
  <r>
    <s v="1fb8ab59-c826-45a2-89c1-6b381aa7f9c4"/>
    <s v="Kristen Campbell"/>
    <d v="2002-02-28T00:00:00"/>
    <x v="0"/>
    <x v="25"/>
    <s v="Rehydration Therapy"/>
    <s v="Prescribed rehydration solution and advised rest."/>
    <d v="2022-03-29T00:00:00"/>
    <d v="2022-04-08T00:00:00"/>
    <n v="1244.31"/>
    <n v="10"/>
    <x v="10"/>
    <x v="0"/>
    <n v="20"/>
  </r>
  <r>
    <s v="1f4e37df-307d-4f61-81bc-1d83998ccf1d"/>
    <s v="Christine Hale"/>
    <d v="1984-04-27T00:00:00"/>
    <x v="0"/>
    <x v="25"/>
    <s v="Rehydration Therapy"/>
    <s v="Symptomatic treatment for nausea and vomiting."/>
    <d v="2021-10-13T00:00:00"/>
    <d v="2021-11-03T00:00:00"/>
    <n v="1229.01"/>
    <n v="21"/>
    <x v="8"/>
    <x v="2"/>
    <n v="37"/>
  </r>
  <r>
    <s v="6db1753e-82c4-4d54-825b-392360cb4311"/>
    <s v="Pamela Berry MD"/>
    <d v="1954-07-08T00:00:00"/>
    <x v="1"/>
    <x v="20"/>
    <s v="Pain Relief"/>
    <s v="Bandaged affected area to protect from further injury."/>
    <d v="2022-02-21T00:00:00"/>
    <d v="2022-03-14T00:00:00"/>
    <n v="1220.42"/>
    <n v="21"/>
    <x v="11"/>
    <x v="0"/>
    <n v="67"/>
  </r>
  <r>
    <s v="f2c8f33f-c6c9-4c56-bf48-76a61c11af77"/>
    <s v="Anthony Archer"/>
    <d v="1937-08-16T00:00:00"/>
    <x v="0"/>
    <x v="22"/>
    <s v="Antibiotics"/>
    <s v="Started on antibiotics to treat infection."/>
    <d v="2022-12-30T00:00:00"/>
    <d v="2023-01-21T00:00:00"/>
    <n v="1213.74"/>
    <n v="22"/>
    <x v="0"/>
    <x v="0"/>
    <n v="85"/>
  </r>
  <r>
    <s v="34288381-9194-46aa-8897-e7f782fdcf6c"/>
    <s v="Casey Hunt"/>
    <d v="1939-04-05T00:00:00"/>
    <x v="0"/>
    <x v="24"/>
    <s v="Antibiotics"/>
    <s v="Monitor for any signs of worsening respiratory symptoms."/>
    <d v="2023-11-09T00:00:00"/>
    <d v="2023-12-05T00:00:00"/>
    <n v="1207.8"/>
    <n v="26"/>
    <x v="3"/>
    <x v="1"/>
    <n v="84"/>
  </r>
  <r>
    <s v="34386a27-fcdb-4ca1-8314-68f328853a1a"/>
    <s v="Mackenzie Ford"/>
    <d v="1950-09-18T00:00:00"/>
    <x v="1"/>
    <x v="14"/>
    <s v="Medication"/>
    <s v="Advised to reduce salt intake and increase physical activity."/>
    <d v="2022-01-14T00:00:00"/>
    <d v="2022-01-21T00:00:00"/>
    <n v="1200.81"/>
    <n v="7"/>
    <x v="1"/>
    <x v="0"/>
    <n v="71"/>
  </r>
  <r>
    <s v="e45e896e-7bcd-42e1-83c9-198d8ac66930"/>
    <s v="Deborah Garcia"/>
    <d v="1933-10-17T00:00:00"/>
    <x v="1"/>
    <x v="19"/>
    <s v="Decongestants"/>
    <s v="Prescribed decongestants to relieve sinus pressure."/>
    <d v="2024-01-05T00:00:00"/>
    <d v="2024-01-20T00:00:00"/>
    <n v="1191.77"/>
    <n v="15"/>
    <x v="1"/>
    <x v="3"/>
    <n v="90"/>
  </r>
  <r>
    <s v="f6c2bcc2-9489-4c44-b0a5-9259076c5849"/>
    <s v="Ashley Coleman"/>
    <d v="1972-10-02T00:00:00"/>
    <x v="1"/>
    <x v="22"/>
    <s v="Antibiotics"/>
    <s v="Advised increased fluid intake."/>
    <d v="2023-10-12T00:00:00"/>
    <d v="2023-10-17T00:00:00"/>
    <n v="1188.72"/>
    <n v="5"/>
    <x v="8"/>
    <x v="1"/>
    <n v="51"/>
  </r>
  <r>
    <s v="10e5e0ff-c830-4e10-8628-f6cccaa94cb9"/>
    <s v="Vanessa Hughes"/>
    <d v="1953-03-16T00:00:00"/>
    <x v="0"/>
    <x v="15"/>
    <s v="Anxiolytics"/>
    <s v="Discussed stress management techniques."/>
    <d v="2022-03-15T00:00:00"/>
    <d v="2022-04-08T00:00:00"/>
    <n v="1186.08"/>
    <n v="24"/>
    <x v="10"/>
    <x v="0"/>
    <n v="68"/>
  </r>
  <r>
    <s v="58db27d8-80d2-4c22-8d93-aedb906b9076"/>
    <s v="Nicholas Moreno"/>
    <d v="1951-03-31T00:00:00"/>
    <x v="1"/>
    <x v="21"/>
    <s v="Elevation"/>
    <s v="Advised RICE (Rest, Ice, Compression, Elevation) protocol."/>
    <d v="2022-12-05T00:00:00"/>
    <d v="2022-12-08T00:00:00"/>
    <n v="1183.26"/>
    <n v="3"/>
    <x v="0"/>
    <x v="0"/>
    <n v="71"/>
  </r>
  <r>
    <s v="a3841300-08a9-4337-892a-7d021e7a900e"/>
    <s v="Brooke Moore"/>
    <d v="1944-09-10T00:00:00"/>
    <x v="0"/>
    <x v="25"/>
    <s v="Rehydration Therapy"/>
    <s v="Prescribed rehydration solution and advised rest."/>
    <d v="2021-11-14T00:00:00"/>
    <d v="2021-11-18T00:00:00"/>
    <n v="1182.3499999999999"/>
    <n v="4"/>
    <x v="3"/>
    <x v="2"/>
    <n v="77"/>
  </r>
  <r>
    <s v="f13315d1-249b-4050-9711-d0bbd28eee4e"/>
    <s v="Matthew Zimmerman"/>
    <d v="1950-02-01T00:00:00"/>
    <x v="0"/>
    <x v="19"/>
    <s v="Decongestants"/>
    <s v="Started on antibiotics for bacterial infection."/>
    <d v="2021-09-15T00:00:00"/>
    <d v="2021-09-17T00:00:00"/>
    <n v="1178.8699999999999"/>
    <n v="2"/>
    <x v="6"/>
    <x v="2"/>
    <n v="71"/>
  </r>
  <r>
    <s v="417775e4-e3e1-4dc8-82f4-d54843b13616"/>
    <s v="Abigail Rios"/>
    <d v="1963-05-12T00:00:00"/>
    <x v="1"/>
    <x v="24"/>
    <s v="Rest"/>
    <s v="Prescribed cough medicine and advised rest."/>
    <d v="2024-06-20T00:00:00"/>
    <d v="2024-07-01T00:00:00"/>
    <n v="1172.72"/>
    <n v="11"/>
    <x v="4"/>
    <x v="3"/>
    <n v="61"/>
  </r>
  <r>
    <s v="b96e6a9b-3022-401f-a099-387affe859ac"/>
    <s v="Sandra Wilson"/>
    <d v="1965-11-04T00:00:00"/>
    <x v="0"/>
    <x v="18"/>
    <s v="Antiviral Drugs"/>
    <s v="Advised rest and maintain hydration."/>
    <d v="2023-06-24T00:00:00"/>
    <d v="2023-07-20T00:00:00"/>
    <n v="1171.6500000000001"/>
    <n v="26"/>
    <x v="4"/>
    <x v="1"/>
    <n v="57"/>
  </r>
  <r>
    <s v="2ab7eae4-e652-4cc5-9d90-a99331aac5fd"/>
    <s v="Lindsey Freeman"/>
    <d v="2015-05-26T00:00:00"/>
    <x v="1"/>
    <x v="16"/>
    <s v="Antidepressants"/>
    <s v="Referred to therapy for additional support."/>
    <d v="2023-04-09T00:00:00"/>
    <d v="2023-05-06T00:00:00"/>
    <n v="1166.49"/>
    <n v="27"/>
    <x v="9"/>
    <x v="1"/>
    <n v="7"/>
  </r>
  <r>
    <s v="bf2e8058-fc43-4cef-b0f4-ec91f9f2a08d"/>
    <s v="Hannah Jones"/>
    <d v="1938-02-10T00:00:00"/>
    <x v="0"/>
    <x v="16"/>
    <s v="Antidepressants"/>
    <s v="Referred to therapy for additional support."/>
    <d v="2022-10-23T00:00:00"/>
    <d v="2022-11-06T00:00:00"/>
    <n v="1163.02"/>
    <n v="14"/>
    <x v="8"/>
    <x v="0"/>
    <n v="84"/>
  </r>
  <r>
    <s v="6f738a40-4d75-4054-8137-040f31c3d161"/>
    <s v="John Miller"/>
    <d v="1976-01-15T00:00:00"/>
    <x v="1"/>
    <x v="19"/>
    <s v="Antibiotics"/>
    <s v="Prescribed decongestants to relieve sinus pressure."/>
    <d v="2023-12-06T00:00:00"/>
    <d v="2023-12-09T00:00:00"/>
    <n v="1160.05"/>
    <n v="3"/>
    <x v="0"/>
    <x v="1"/>
    <n v="47"/>
  </r>
  <r>
    <s v="d480299f-99f1-43fe-aabc-ce31e0710db9"/>
    <s v="Tina Miranda"/>
    <d v="1935-11-20T00:00:00"/>
    <x v="1"/>
    <x v="23"/>
    <s v="Pain Relief Medication"/>
    <s v="Follow-up to assess effectiveness of treatment."/>
    <d v="2023-01-11T00:00:00"/>
    <d v="2023-01-16T00:00:00"/>
    <n v="1152.25"/>
    <n v="5"/>
    <x v="1"/>
    <x v="1"/>
    <n v="87"/>
  </r>
  <r>
    <s v="829862ba-7428-4966-9d7c-ac6c4be5d110"/>
    <s v="Rachel Johnson DDS"/>
    <d v="1936-09-29T00:00:00"/>
    <x v="1"/>
    <x v="15"/>
    <s v="Cognitive Behavioral Therapy"/>
    <s v="Referred to cognitive behavioral therapy."/>
    <d v="2023-10-25T00:00:00"/>
    <d v="2023-11-16T00:00:00"/>
    <n v="1115.04"/>
    <n v="22"/>
    <x v="8"/>
    <x v="1"/>
    <n v="87"/>
  </r>
  <r>
    <s v="4f1cefe6-4ba5-4646-8c3d-8c285232a12e"/>
    <s v="Stephen West"/>
    <d v="1981-08-19T00:00:00"/>
    <x v="1"/>
    <x v="22"/>
    <s v="Antibiotics"/>
    <s v="Advised increased fluid intake."/>
    <d v="2021-10-22T00:00:00"/>
    <d v="2021-11-07T00:00:00"/>
    <n v="1109.3"/>
    <n v="16"/>
    <x v="8"/>
    <x v="2"/>
    <n v="40"/>
  </r>
  <r>
    <s v="0150b509-1182-4ef2-849c-a11dd546332b"/>
    <s v="Clayton Sparks"/>
    <d v="1980-12-07T00:00:00"/>
    <x v="1"/>
    <x v="23"/>
    <s v="Lifestyle Changes"/>
    <s v="Prescribed medication for immediate pain relief."/>
    <d v="2022-07-29T00:00:00"/>
    <d v="2022-08-08T00:00:00"/>
    <n v="1081.08"/>
    <n v="10"/>
    <x v="2"/>
    <x v="0"/>
    <n v="41"/>
  </r>
  <r>
    <s v="d8e4f865-171b-460f-81c7-8746a4de0568"/>
    <s v="Stephen Martin"/>
    <d v="1947-07-23T00:00:00"/>
    <x v="0"/>
    <x v="21"/>
    <s v="Rest"/>
    <s v="Monitor for any signs of worsening symptoms."/>
    <d v="2021-12-11T00:00:00"/>
    <d v="2021-12-23T00:00:00"/>
    <n v="1080.8699999999999"/>
    <n v="12"/>
    <x v="0"/>
    <x v="2"/>
    <n v="74"/>
  </r>
  <r>
    <s v="c68721d0-ccda-4b7e-93de-65d1e0e2d3d2"/>
    <s v="Michael Johnson"/>
    <d v="1971-07-08T00:00:00"/>
    <x v="0"/>
    <x v="23"/>
    <s v="Pain Relief Medication"/>
    <s v="Advised on lifestyle changes to reduce migraine triggers."/>
    <d v="2022-09-04T00:00:00"/>
    <d v="2022-10-02T00:00:00"/>
    <n v="1079.6400000000001"/>
    <n v="28"/>
    <x v="6"/>
    <x v="0"/>
    <n v="51"/>
  </r>
  <r>
    <s v="20ca5dbd-624e-49c4-9b31-c221e4c66eac"/>
    <s v="Randall Harrison"/>
    <d v="1968-06-08T00:00:00"/>
    <x v="1"/>
    <x v="24"/>
    <s v="Rest"/>
    <s v="Monitor for any signs of worsening respiratory symptoms."/>
    <d v="2024-05-21T00:00:00"/>
    <d v="2024-05-23T00:00:00"/>
    <n v="1079.22"/>
    <n v="2"/>
    <x v="5"/>
    <x v="3"/>
    <n v="55"/>
  </r>
  <r>
    <s v="f476d1eb-b041-46fc-9ef5-bc91cbf5e60d"/>
    <s v="Pamela Mcintosh"/>
    <d v="1985-09-05T00:00:00"/>
    <x v="1"/>
    <x v="22"/>
    <s v="Antibiotics"/>
    <s v="Advised increased fluid intake."/>
    <d v="2021-08-11T00:00:00"/>
    <d v="2021-08-25T00:00:00"/>
    <n v="1072.44"/>
    <n v="14"/>
    <x v="7"/>
    <x v="2"/>
    <n v="35"/>
  </r>
  <r>
    <s v="93c49865-f3ab-4368-ab61-6beb35a8cc21"/>
    <s v="William Fowler"/>
    <d v="1985-09-24T00:00:00"/>
    <x v="0"/>
    <x v="20"/>
    <s v="Pain Relief"/>
    <s v="Prescribed pain relief medication."/>
    <d v="2024-05-19T00:00:00"/>
    <d v="2024-05-28T00:00:00"/>
    <n v="1072.3800000000001"/>
    <n v="9"/>
    <x v="5"/>
    <x v="3"/>
    <n v="38"/>
  </r>
  <r>
    <s v="1b9bd056-2495-4436-85d3-dfc5563535a7"/>
    <s v="Kimberly Freeman"/>
    <d v="1990-11-26T00:00:00"/>
    <x v="0"/>
    <x v="24"/>
    <s v="Antibiotics"/>
    <s v="Monitor for any signs of worsening respiratory symptoms."/>
    <d v="2024-05-03T00:00:00"/>
    <d v="2024-05-16T00:00:00"/>
    <n v="1072.33"/>
    <n v="13"/>
    <x v="5"/>
    <x v="3"/>
    <n v="33"/>
  </r>
  <r>
    <s v="8a31887c-08fe-41d9-8a7d-3f5ac3594335"/>
    <s v="Matthew Bowen"/>
    <d v="1934-07-31T00:00:00"/>
    <x v="0"/>
    <x v="25"/>
    <s v="Rehydration Therapy"/>
    <s v="Prescribed rehydration solution and advised rest."/>
    <d v="2021-08-06T00:00:00"/>
    <d v="2021-08-31T00:00:00"/>
    <n v="1070.3900000000001"/>
    <n v="25"/>
    <x v="7"/>
    <x v="2"/>
    <n v="87"/>
  </r>
  <r>
    <s v="ee48d196-e1fb-49ce-a2a8-5bdef4e5bbdb"/>
    <s v="Stephanie Mitchell"/>
    <d v="2007-12-19T00:00:00"/>
    <x v="1"/>
    <x v="14"/>
    <s v="Lifestyle Changes"/>
    <s v="Patient started on antihypertensive medication."/>
    <d v="2024-03-14T00:00:00"/>
    <d v="2024-04-11T00:00:00"/>
    <n v="1055.42"/>
    <n v="28"/>
    <x v="10"/>
    <x v="3"/>
    <n v="16"/>
  </r>
  <r>
    <s v="8480d3f2-150e-4ec5-b3ad-23c965d01dfe"/>
    <s v="Duane Willis"/>
    <d v="2007-08-10T00:00:00"/>
    <x v="1"/>
    <x v="23"/>
    <s v="Lifestyle Changes"/>
    <s v="Prescribed medication for immediate pain relief."/>
    <d v="2023-01-04T00:00:00"/>
    <d v="2023-01-21T00:00:00"/>
    <n v="1050.8499999999999"/>
    <n v="17"/>
    <x v="1"/>
    <x v="1"/>
    <n v="15"/>
  </r>
  <r>
    <s v="e0aabdd4-930e-4f52-bfaf-bc8b79049286"/>
    <s v="Melissa Powell"/>
    <d v="1948-11-15T00:00:00"/>
    <x v="1"/>
    <x v="24"/>
    <s v="Antibiotics"/>
    <s v="Prescribed cough medicine and advised rest."/>
    <d v="2021-10-06T00:00:00"/>
    <d v="2021-11-03T00:00:00"/>
    <n v="1050.25"/>
    <n v="28"/>
    <x v="8"/>
    <x v="2"/>
    <n v="72"/>
  </r>
  <r>
    <s v="38aebdcb-0964-4c0e-a99f-46340d464583"/>
    <s v="Michelle Lopez"/>
    <d v="1948-10-02T00:00:00"/>
    <x v="0"/>
    <x v="18"/>
    <s v="Rest"/>
    <s v="Monitor for any worsening of symptoms."/>
    <d v="2024-02-03T00:00:00"/>
    <d v="2024-02-22T00:00:00"/>
    <n v="1044.56"/>
    <n v="19"/>
    <x v="11"/>
    <x v="3"/>
    <n v="75"/>
  </r>
  <r>
    <s v="9a935c38-fa81-4bc9-95c8-2d64731e176f"/>
    <s v="Joe Bryant"/>
    <d v="2009-12-27T00:00:00"/>
    <x v="1"/>
    <x v="21"/>
    <s v="Elevation"/>
    <s v="Prescribed pain relief medication."/>
    <d v="2021-09-15T00:00:00"/>
    <d v="2021-10-06T00:00:00"/>
    <n v="1034.05"/>
    <n v="21"/>
    <x v="6"/>
    <x v="2"/>
    <n v="11"/>
  </r>
  <r>
    <s v="c28c50d3-d1f1-4540-a31c-d4c4e5b26107"/>
    <s v="Sherry Jones"/>
    <d v="1975-10-28T00:00:00"/>
    <x v="0"/>
    <x v="21"/>
    <s v="Rest"/>
    <s v="Advised RICE (Rest, Ice, Compression, Elevation) protocol."/>
    <d v="2023-11-06T00:00:00"/>
    <d v="2023-11-25T00:00:00"/>
    <n v="1017.09"/>
    <n v="19"/>
    <x v="3"/>
    <x v="1"/>
    <n v="48"/>
  </r>
  <r>
    <s v="7cc1c13b-c0b6-4bf6-bbaf-960e8e878d8b"/>
    <s v="Catherine Jones"/>
    <d v="1962-12-24T00:00:00"/>
    <x v="0"/>
    <x v="21"/>
    <s v="Rest"/>
    <s v="Prescribed pain relief medication."/>
    <d v="2022-10-29T00:00:00"/>
    <d v="2022-11-26T00:00:00"/>
    <n v="1012.58"/>
    <n v="28"/>
    <x v="8"/>
    <x v="0"/>
    <n v="59"/>
  </r>
  <r>
    <s v="b276f328-1794-4769-a9c1-0a3f7ff4f1fa"/>
    <s v="Christopher Barker"/>
    <d v="2000-10-14T00:00:00"/>
    <x v="0"/>
    <x v="26"/>
    <s v="Antihistamines"/>
    <s v="Advised to avoid known allergens."/>
    <d v="2024-05-10T00:00:00"/>
    <d v="2024-06-02T00:00:00"/>
    <n v="996.39"/>
    <n v="23"/>
    <x v="5"/>
    <x v="3"/>
    <n v="23"/>
  </r>
  <r>
    <s v="b12418a5-4102-47ce-b9c7-92d68304258a"/>
    <s v="Lance Monroe"/>
    <d v="1980-08-13T00:00:00"/>
    <x v="0"/>
    <x v="27"/>
    <s v="Topical Antibiotics"/>
    <s v="Advised to keep affected area clean and dry."/>
    <d v="2024-03-26T00:00:00"/>
    <d v="2024-04-18T00:00:00"/>
    <n v="989.71"/>
    <n v="23"/>
    <x v="10"/>
    <x v="3"/>
    <n v="43"/>
  </r>
  <r>
    <s v="d32b60d1-e60f-4ebf-9105-a3fc2c866007"/>
    <s v="Brittany Richards"/>
    <d v="1933-01-24T00:00:00"/>
    <x v="0"/>
    <x v="27"/>
    <s v="Topical Antibiotics"/>
    <s v="Started on oral antibiotics for more severe infection."/>
    <d v="2023-06-22T00:00:00"/>
    <d v="2023-06-29T00:00:00"/>
    <n v="986.68"/>
    <n v="7"/>
    <x v="4"/>
    <x v="1"/>
    <n v="90"/>
  </r>
  <r>
    <s v="2fae4f0d-d207-4aac-957a-dbbb146fb30b"/>
    <s v="James Middleton"/>
    <d v="1928-09-12T00:00:00"/>
    <x v="1"/>
    <x v="21"/>
    <s v="Ice"/>
    <s v="Prescribed pain relief medication."/>
    <d v="2022-10-17T00:00:00"/>
    <d v="2022-10-30T00:00:00"/>
    <n v="984.19"/>
    <n v="13"/>
    <x v="8"/>
    <x v="0"/>
    <n v="94"/>
  </r>
  <r>
    <s v="50ff88bb-1dca-4b66-9fec-9515848f14aa"/>
    <s v="Loretta Perez MD"/>
    <d v="2019-11-16T00:00:00"/>
    <x v="1"/>
    <x v="18"/>
    <s v="Hydration"/>
    <s v="Prescribed antiviral medication; start immediately."/>
    <d v="2022-02-06T00:00:00"/>
    <d v="2022-02-09T00:00:00"/>
    <n v="979.64"/>
    <n v="3"/>
    <x v="11"/>
    <x v="0"/>
    <n v="2"/>
  </r>
  <r>
    <s v="140770e2-f230-4604-affd-dad85bad4f6d"/>
    <s v="Cheryl Spencer"/>
    <d v="1933-05-18T00:00:00"/>
    <x v="1"/>
    <x v="27"/>
    <s v="Topical Antibiotics"/>
    <s v="Started on oral antibiotics for more severe infection."/>
    <d v="2023-01-21T00:00:00"/>
    <d v="2023-02-12T00:00:00"/>
    <n v="976.6"/>
    <n v="22"/>
    <x v="1"/>
    <x v="1"/>
    <n v="89"/>
  </r>
  <r>
    <s v="63842f30-e865-4de4-86f4-2538020e0321"/>
    <s v="Jessica Wood"/>
    <d v="2012-07-22T00:00:00"/>
    <x v="1"/>
    <x v="18"/>
    <s v="Antiviral Drugs"/>
    <s v="Prescribed antiviral medication; start immediately."/>
    <d v="2021-12-06T00:00:00"/>
    <d v="2022-01-01T00:00:00"/>
    <n v="973.68"/>
    <n v="26"/>
    <x v="0"/>
    <x v="2"/>
    <n v="9"/>
  </r>
  <r>
    <s v="c23e1d5c-6c1f-4cb6-bdc0-7be1f9e2118c"/>
    <s v="Thomas Nicholson"/>
    <d v="1994-02-25T00:00:00"/>
    <x v="0"/>
    <x v="27"/>
    <s v="Topical Antibiotics"/>
    <s v="Advised to keep affected area clean and dry."/>
    <d v="2023-03-25T00:00:00"/>
    <d v="2023-04-18T00:00:00"/>
    <n v="973.02"/>
    <n v="24"/>
    <x v="10"/>
    <x v="1"/>
    <n v="29"/>
  </r>
  <r>
    <s v="55ecdda7-dd40-4173-89e7-5cba70b14358"/>
    <s v="Laura Gonzales"/>
    <d v="1952-12-22T00:00:00"/>
    <x v="0"/>
    <x v="24"/>
    <s v="Rest"/>
    <s v="Prescribed cough medicine and advised rest."/>
    <d v="2022-08-14T00:00:00"/>
    <d v="2022-09-02T00:00:00"/>
    <n v="970.02"/>
    <n v="19"/>
    <x v="7"/>
    <x v="0"/>
    <n v="69"/>
  </r>
  <r>
    <s v="0205ebb6-b81b-4759-a61b-899291e5f878"/>
    <s v="Bridget Williams"/>
    <d v="2005-04-14T00:00:00"/>
    <x v="1"/>
    <x v="25"/>
    <s v="Rehydration Therapy"/>
    <s v="Prescribed rehydration solution and advised rest."/>
    <d v="2024-01-15T00:00:00"/>
    <d v="2024-02-13T00:00:00"/>
    <n v="963.91"/>
    <n v="29"/>
    <x v="1"/>
    <x v="3"/>
    <n v="18"/>
  </r>
  <r>
    <s v="74c6fd95-dbda-465e-888f-dab230f48fb0"/>
    <s v="Debra Kim"/>
    <d v="2001-09-15T00:00:00"/>
    <x v="0"/>
    <x v="27"/>
    <s v="Topical Antibiotics"/>
    <s v="Started on oral antibiotics for more severe infection."/>
    <d v="2023-01-03T00:00:00"/>
    <d v="2023-01-07T00:00:00"/>
    <n v="961.71"/>
    <n v="4"/>
    <x v="1"/>
    <x v="1"/>
    <n v="21"/>
  </r>
  <r>
    <s v="03fbceac-b8c2-4542-a1bd-35f861e2d36d"/>
    <s v="Cynthia Johns"/>
    <d v="1932-01-01T00:00:00"/>
    <x v="0"/>
    <x v="27"/>
    <s v="Oral Antibiotics"/>
    <s v="Prescribed topical antibiotics for local infection."/>
    <d v="2023-07-31T00:00:00"/>
    <d v="2023-08-22T00:00:00"/>
    <n v="954.37"/>
    <n v="22"/>
    <x v="2"/>
    <x v="1"/>
    <n v="91"/>
  </r>
  <r>
    <s v="b238cc65-967c-4c70-b93c-0e27d867941c"/>
    <s v="Mr. Blake Buckley"/>
    <d v="1937-04-02T00:00:00"/>
    <x v="0"/>
    <x v="26"/>
    <s v="Antihistamines"/>
    <s v="Advised to avoid known allergens."/>
    <d v="2023-08-10T00:00:00"/>
    <d v="2023-09-06T00:00:00"/>
    <n v="948.39"/>
    <n v="27"/>
    <x v="7"/>
    <x v="1"/>
    <n v="86"/>
  </r>
  <r>
    <s v="f6009fbb-0820-4d51-be18-4dcf36afa113"/>
    <s v="Amy Wolfe"/>
    <d v="1975-12-10T00:00:00"/>
    <x v="0"/>
    <x v="27"/>
    <s v="Topical Antibiotics"/>
    <s v="Advised to keep affected area clean and dry."/>
    <d v="2021-11-09T00:00:00"/>
    <d v="2021-11-22T00:00:00"/>
    <n v="944.15"/>
    <n v="13"/>
    <x v="3"/>
    <x v="2"/>
    <n v="45"/>
  </r>
  <r>
    <s v="287d96f8-f283-479d-905e-9d9a758a96e5"/>
    <s v="Patricia Johnson"/>
    <d v="1996-09-17T00:00:00"/>
    <x v="0"/>
    <x v="20"/>
    <s v="Pain Relief"/>
    <s v="Bandaged affected area to protect from further injury."/>
    <d v="2023-11-05T00:00:00"/>
    <d v="2023-11-16T00:00:00"/>
    <n v="939"/>
    <n v="11"/>
    <x v="3"/>
    <x v="1"/>
    <n v="27"/>
  </r>
  <r>
    <s v="58c3dc22-f62b-4b2b-bd8f-816ca1053ada"/>
    <s v="Michele Porter"/>
    <d v="2004-10-12T00:00:00"/>
    <x v="1"/>
    <x v="19"/>
    <s v="Antibiotics"/>
    <s v="Prescribed decongestants to relieve sinus pressure."/>
    <d v="2023-01-05T00:00:00"/>
    <d v="2023-01-13T00:00:00"/>
    <n v="936.37"/>
    <n v="8"/>
    <x v="1"/>
    <x v="1"/>
    <n v="18"/>
  </r>
  <r>
    <s v="dc1e604f-d23b-43e6-aa5b-278ff3aeb782"/>
    <s v="Valerie Anderson"/>
    <d v="2001-08-20T00:00:00"/>
    <x v="0"/>
    <x v="18"/>
    <s v="Rest"/>
    <s v="Monitor for any worsening of symptoms."/>
    <d v="2023-06-19T00:00:00"/>
    <d v="2023-07-07T00:00:00"/>
    <n v="933.25"/>
    <n v="18"/>
    <x v="4"/>
    <x v="1"/>
    <n v="21"/>
  </r>
  <r>
    <s v="98e75548-b935-49b8-a982-59d03f0e5da4"/>
    <s v="Lisa Bond"/>
    <d v="1931-10-05T00:00:00"/>
    <x v="0"/>
    <x v="25"/>
    <s v="Rehydration Therapy"/>
    <s v="Monitor for any signs of dehydration."/>
    <d v="2023-01-31T00:00:00"/>
    <d v="2023-02-03T00:00:00"/>
    <n v="931.71"/>
    <n v="3"/>
    <x v="1"/>
    <x v="1"/>
    <n v="91"/>
  </r>
  <r>
    <s v="93b76011-c1e7-47dd-895f-ebd60dfc5b25"/>
    <s v="Nicholas Martinez"/>
    <d v="1923-11-28T00:00:00"/>
    <x v="0"/>
    <x v="27"/>
    <s v="Oral Antibiotics"/>
    <s v="Advised to keep affected area clean and dry."/>
    <d v="2023-08-20T00:00:00"/>
    <d v="2023-09-14T00:00:00"/>
    <n v="928.95"/>
    <n v="25"/>
    <x v="7"/>
    <x v="1"/>
    <n v="99"/>
  </r>
  <r>
    <s v="004fa9f9-89b7-40c7-b3d3-a9851971937d"/>
    <s v="Donald Ramos"/>
    <d v="1998-10-26T00:00:00"/>
    <x v="1"/>
    <x v="27"/>
    <s v="Oral Antibiotics"/>
    <s v="Started on oral antibiotics for more severe infection."/>
    <d v="2022-03-23T00:00:00"/>
    <d v="2022-04-09T00:00:00"/>
    <n v="922.7"/>
    <n v="17"/>
    <x v="10"/>
    <x v="0"/>
    <n v="23"/>
  </r>
  <r>
    <s v="2918e681-473b-4bfe-afce-82f06f4de077"/>
    <s v="Janice Neal"/>
    <d v="2020-01-13T00:00:00"/>
    <x v="0"/>
    <x v="24"/>
    <s v="Antibiotics"/>
    <s v="Prescribed cough medicine and advised rest."/>
    <d v="2023-01-31T00:00:00"/>
    <d v="2023-02-20T00:00:00"/>
    <n v="921.94"/>
    <n v="20"/>
    <x v="1"/>
    <x v="1"/>
    <n v="3"/>
  </r>
  <r>
    <s v="b558a6d0-a6b4-4c3f-9078-c15fb5e2d70a"/>
    <s v="Morgan Jennings"/>
    <d v="1928-09-18T00:00:00"/>
    <x v="0"/>
    <x v="18"/>
    <s v="Rest"/>
    <s v="Monitor for any worsening of symptoms."/>
    <d v="2024-04-05T00:00:00"/>
    <d v="2024-04-28T00:00:00"/>
    <n v="913.97"/>
    <n v="23"/>
    <x v="9"/>
    <x v="3"/>
    <n v="95"/>
  </r>
  <r>
    <s v="aa52f31a-7fc5-455a-9edc-e921f2e7b97e"/>
    <s v="Kimberly Martin"/>
    <d v="2019-07-25T00:00:00"/>
    <x v="0"/>
    <x v="21"/>
    <s v="Elevation"/>
    <s v="Prescribed pain relief medication."/>
    <d v="2022-05-11T00:00:00"/>
    <d v="2022-06-01T00:00:00"/>
    <n v="911.41"/>
    <n v="21"/>
    <x v="5"/>
    <x v="0"/>
    <n v="2"/>
  </r>
  <r>
    <s v="a0e2bab0-bf41-4ea1-8336-68b15c2bc683"/>
    <s v="Patrick Watson"/>
    <d v="2010-07-03T00:00:00"/>
    <x v="0"/>
    <x v="27"/>
    <s v="Topical Antibiotics"/>
    <s v="Started on oral antibiotics for more severe infection."/>
    <d v="2023-05-24T00:00:00"/>
    <d v="2023-06-15T00:00:00"/>
    <n v="891.91"/>
    <n v="22"/>
    <x v="5"/>
    <x v="1"/>
    <n v="12"/>
  </r>
  <r>
    <s v="e60a4e1e-4806-4073-a704-73539a2159b8"/>
    <s v="Robert Taylor"/>
    <d v="1946-06-19T00:00:00"/>
    <x v="0"/>
    <x v="22"/>
    <s v="Antibiotics"/>
    <s v="Started on antibiotics to treat infection."/>
    <d v="2021-10-07T00:00:00"/>
    <d v="2021-10-16T00:00:00"/>
    <n v="890.12"/>
    <n v="9"/>
    <x v="8"/>
    <x v="2"/>
    <n v="75"/>
  </r>
  <r>
    <s v="e92d3741-3534-4a5f-a9c3-b7c491417de3"/>
    <s v="Jason Young"/>
    <d v="2004-08-10T00:00:00"/>
    <x v="0"/>
    <x v="25"/>
    <s v="Rehydration Therapy"/>
    <s v="Prescribed rehydration solution and advised rest."/>
    <d v="2023-08-13T00:00:00"/>
    <d v="2023-08-27T00:00:00"/>
    <n v="889.44"/>
    <n v="14"/>
    <x v="7"/>
    <x v="1"/>
    <n v="19"/>
  </r>
  <r>
    <s v="f8df1eb2-7d29-4966-b92c-7368f4166c75"/>
    <s v="Ariana Martin"/>
    <d v="1957-08-03T00:00:00"/>
    <x v="0"/>
    <x v="27"/>
    <s v="Topical Antibiotics"/>
    <s v="Prescribed topical antibiotics for local infection."/>
    <d v="2022-01-24T00:00:00"/>
    <d v="2022-02-12T00:00:00"/>
    <n v="888.47"/>
    <n v="19"/>
    <x v="1"/>
    <x v="0"/>
    <n v="64"/>
  </r>
  <r>
    <s v="0e9e745a-03f8-4fef-ad26-f8e370dc0b14"/>
    <s v="Katelyn Jackson"/>
    <d v="1955-01-21T00:00:00"/>
    <x v="1"/>
    <x v="19"/>
    <s v="Decongestants"/>
    <s v="Started on antibiotics for bacterial infection."/>
    <d v="2022-07-01T00:00:00"/>
    <d v="2022-07-09T00:00:00"/>
    <n v="881.67"/>
    <n v="8"/>
    <x v="2"/>
    <x v="0"/>
    <n v="67"/>
  </r>
  <r>
    <s v="f672a165-fc35-42a4-a389-6198df2d2068"/>
    <s v="Miss Tonya Anderson"/>
    <d v="2004-04-27T00:00:00"/>
    <x v="1"/>
    <x v="27"/>
    <s v="Topical Antibiotics"/>
    <s v="Started on oral antibiotics for more severe infection."/>
    <d v="2022-10-06T00:00:00"/>
    <d v="2022-11-02T00:00:00"/>
    <n v="869.65"/>
    <n v="27"/>
    <x v="8"/>
    <x v="0"/>
    <n v="18"/>
  </r>
  <r>
    <s v="60f693eb-a10f-4513-84f9-5952bdedbde2"/>
    <s v="Kim Myers"/>
    <d v="2011-09-18T00:00:00"/>
    <x v="0"/>
    <x v="20"/>
    <s v="Pain Relief"/>
    <s v="Applied topical creams to prevent infection."/>
    <d v="2023-02-25T00:00:00"/>
    <d v="2023-03-07T00:00:00"/>
    <n v="868.22"/>
    <n v="10"/>
    <x v="11"/>
    <x v="1"/>
    <n v="11"/>
  </r>
  <r>
    <s v="fe6aa127-3fb7-4428-8f19-23fa96ac2a9f"/>
    <s v="Crystal Berry"/>
    <d v="1930-04-01T00:00:00"/>
    <x v="1"/>
    <x v="23"/>
    <s v="Lifestyle Changes"/>
    <s v="Prescribed medication for immediate pain relief."/>
    <d v="2021-12-16T00:00:00"/>
    <d v="2022-01-08T00:00:00"/>
    <n v="855.3"/>
    <n v="23"/>
    <x v="0"/>
    <x v="2"/>
    <n v="91"/>
  </r>
  <r>
    <s v="4aca09c5-3174-4687-9d96-d3990b451d04"/>
    <s v="Grace Brown"/>
    <d v="1959-02-19T00:00:00"/>
    <x v="0"/>
    <x v="18"/>
    <s v="Antiviral Drugs"/>
    <s v="Monitor for any worsening of symptoms."/>
    <d v="2022-07-06T00:00:00"/>
    <d v="2022-07-22T00:00:00"/>
    <n v="834.84"/>
    <n v="16"/>
    <x v="2"/>
    <x v="0"/>
    <n v="63"/>
  </r>
  <r>
    <s v="c4af47e4-81e8-4ac1-b33a-f60d9c6ad4b9"/>
    <s v="Elizabeth Richardson"/>
    <d v="1954-03-17T00:00:00"/>
    <x v="0"/>
    <x v="27"/>
    <s v="Topical Antibiotics"/>
    <s v="Prescribed topical antibiotics for local infection."/>
    <d v="2023-04-16T00:00:00"/>
    <d v="2023-05-15T00:00:00"/>
    <n v="829.41"/>
    <n v="29"/>
    <x v="9"/>
    <x v="1"/>
    <n v="69"/>
  </r>
  <r>
    <s v="9588d105-7bbc-4ebb-a5ab-2e23adbe56a8"/>
    <s v="Jennifer Reyes"/>
    <d v="1940-12-28T00:00:00"/>
    <x v="1"/>
    <x v="27"/>
    <s v="Topical Antibiotics"/>
    <s v="Advised to keep affected area clean and dry."/>
    <d v="2022-10-25T00:00:00"/>
    <d v="2022-11-18T00:00:00"/>
    <n v="824.19"/>
    <n v="24"/>
    <x v="8"/>
    <x v="0"/>
    <n v="81"/>
  </r>
  <r>
    <s v="72974db9-b5dd-433e-9f23-48c7755d9d39"/>
    <s v="Emily Brown"/>
    <d v="2006-10-11T00:00:00"/>
    <x v="0"/>
    <x v="19"/>
    <s v="Antibiotics"/>
    <s v="Advised on steam inhalation for symptom relief."/>
    <d v="2023-11-05T00:00:00"/>
    <d v="2023-12-03T00:00:00"/>
    <n v="822.23"/>
    <n v="28"/>
    <x v="3"/>
    <x v="1"/>
    <n v="17"/>
  </r>
  <r>
    <s v="6a73bfc6-9133-465e-9f72-11f0fb007c9b"/>
    <s v="Angie Meyer"/>
    <d v="1957-04-04T00:00:00"/>
    <x v="0"/>
    <x v="18"/>
    <s v="Rest"/>
    <s v="Prescribed antiviral medication; start immediately."/>
    <d v="2022-10-03T00:00:00"/>
    <d v="2022-10-22T00:00:00"/>
    <n v="820.09"/>
    <n v="19"/>
    <x v="8"/>
    <x v="0"/>
    <n v="65"/>
  </r>
  <r>
    <s v="a85b2a5e-a6b4-41f9-9505-fbbb9cf9b577"/>
    <s v="Jennifer Norris"/>
    <d v="1931-03-14T00:00:00"/>
    <x v="1"/>
    <x v="27"/>
    <s v="Oral Antibiotics"/>
    <s v="Prescribed topical antibiotics for local infection."/>
    <d v="2024-05-18T00:00:00"/>
    <d v="2024-06-12T00:00:00"/>
    <n v="808.25"/>
    <n v="25"/>
    <x v="5"/>
    <x v="3"/>
    <n v="93"/>
  </r>
  <r>
    <s v="c0fb3fbf-3f77-40e2-aa7b-5c66e20a0ebf"/>
    <s v="Pamela Marks MD"/>
    <d v="1981-03-08T00:00:00"/>
    <x v="1"/>
    <x v="26"/>
    <s v="Avoidance of Allergens"/>
    <s v="Advised to avoid known allergens."/>
    <d v="2021-10-01T00:00:00"/>
    <d v="2021-10-03T00:00:00"/>
    <n v="806.64"/>
    <n v="2"/>
    <x v="8"/>
    <x v="2"/>
    <n v="40"/>
  </r>
  <r>
    <s v="c76d80ad-6927-4f63-8881-b297491840dd"/>
    <s v="Alexander Kennedy"/>
    <d v="1990-12-04T00:00:00"/>
    <x v="0"/>
    <x v="21"/>
    <s v="Compression"/>
    <s v="Advised RICE (Rest, Ice, Compression, Elevation) protocol."/>
    <d v="2024-07-08T00:00:00"/>
    <d v="2024-08-03T00:00:00"/>
    <n v="806.04"/>
    <n v="26"/>
    <x v="2"/>
    <x v="3"/>
    <n v="33"/>
  </r>
  <r>
    <s v="9fd0ea73-76c1-47d0-9507-056072a89cdd"/>
    <s v="Jo Rios"/>
    <d v="2010-03-23T00:00:00"/>
    <x v="0"/>
    <x v="26"/>
    <s v="Avoidance of Allergens"/>
    <s v="Discussed potential for allergy testing."/>
    <d v="2023-01-10T00:00:00"/>
    <d v="2023-01-28T00:00:00"/>
    <n v="805.41"/>
    <n v="18"/>
    <x v="1"/>
    <x v="1"/>
    <n v="12"/>
  </r>
  <r>
    <s v="134adad0-2803-4d76-8dc3-18813a1c30d9"/>
    <s v="Jamie Thompson"/>
    <d v="1946-04-16T00:00:00"/>
    <x v="1"/>
    <x v="26"/>
    <s v="Antihistamines"/>
    <s v="Advised to avoid known allergens."/>
    <d v="2023-05-11T00:00:00"/>
    <d v="2023-06-05T00:00:00"/>
    <n v="797.81"/>
    <n v="25"/>
    <x v="5"/>
    <x v="1"/>
    <n v="77"/>
  </r>
  <r>
    <s v="effa888e-c13c-405c-9d07-ed3520e5b8f5"/>
    <s v="Natasha Martin"/>
    <d v="1933-09-21T00:00:00"/>
    <x v="1"/>
    <x v="22"/>
    <s v="Antibiotics"/>
    <s v="Started on antibiotics to treat infection."/>
    <d v="2023-08-31T00:00:00"/>
    <d v="2023-09-09T00:00:00"/>
    <n v="789.68"/>
    <n v="9"/>
    <x v="7"/>
    <x v="1"/>
    <n v="89"/>
  </r>
  <r>
    <s v="1480d4d6-85f2-4609-8dd3-b66e442496ed"/>
    <s v="Jared Smith"/>
    <d v="2005-11-18T00:00:00"/>
    <x v="1"/>
    <x v="24"/>
    <s v="Cough Medicine"/>
    <s v="Prescribed cough medicine and advised rest."/>
    <d v="2021-11-21T00:00:00"/>
    <d v="2021-12-01T00:00:00"/>
    <n v="777.41"/>
    <n v="10"/>
    <x v="3"/>
    <x v="2"/>
    <n v="16"/>
  </r>
  <r>
    <s v="f1e12eb0-d89c-4eea-8b00-c15c41bd81a5"/>
    <s v="Shawn Coleman"/>
    <d v="1997-08-19T00:00:00"/>
    <x v="0"/>
    <x v="24"/>
    <s v="Rest"/>
    <s v="Prescribed cough medicine and advised rest."/>
    <d v="2022-04-28T00:00:00"/>
    <d v="2022-05-17T00:00:00"/>
    <n v="771.22"/>
    <n v="19"/>
    <x v="9"/>
    <x v="0"/>
    <n v="24"/>
  </r>
  <r>
    <s v="d6e13c61-77a0-480b-a66f-54b753d05e4f"/>
    <s v="Gregory Moore"/>
    <d v="1971-08-06T00:00:00"/>
    <x v="0"/>
    <x v="25"/>
    <s v="Medication"/>
    <s v="Symptomatic treatment for nausea and vomiting."/>
    <d v="2021-12-31T00:00:00"/>
    <d v="2022-01-14T00:00:00"/>
    <n v="769.7"/>
    <n v="14"/>
    <x v="0"/>
    <x v="2"/>
    <n v="50"/>
  </r>
  <r>
    <s v="30fe1263-93f3-41a8-9744-4f0d3e04321e"/>
    <s v="Albert Jones"/>
    <d v="1985-07-12T00:00:00"/>
    <x v="1"/>
    <x v="24"/>
    <s v="Cough Medicine"/>
    <s v="Started on antibiotics for bacterial infection."/>
    <d v="2021-09-30T00:00:00"/>
    <d v="2021-10-01T00:00:00"/>
    <n v="747.72"/>
    <n v="1"/>
    <x v="6"/>
    <x v="2"/>
    <n v="36"/>
  </r>
  <r>
    <s v="7c29f670-ce4d-47ad-a7a4-c4e0372a3a49"/>
    <s v="Dr. Bradley Pierce"/>
    <d v="2015-03-16T00:00:00"/>
    <x v="0"/>
    <x v="23"/>
    <s v="Lifestyle Changes"/>
    <s v="Advised on lifestyle changes to reduce migraine triggers."/>
    <d v="2023-04-21T00:00:00"/>
    <d v="2023-04-30T00:00:00"/>
    <n v="747.16"/>
    <n v="9"/>
    <x v="9"/>
    <x v="1"/>
    <n v="8"/>
  </r>
  <r>
    <s v="05151506-39b2-4733-acad-76e474e1511b"/>
    <s v="Drew Lucero"/>
    <d v="1969-08-18T00:00:00"/>
    <x v="0"/>
    <x v="18"/>
    <s v="Rest"/>
    <s v="Prescribed antiviral medication; start immediately."/>
    <d v="2023-10-28T00:00:00"/>
    <d v="2023-11-24T00:00:00"/>
    <n v="747.1"/>
    <n v="27"/>
    <x v="8"/>
    <x v="1"/>
    <n v="54"/>
  </r>
  <r>
    <s v="493f35ee-cce0-4211-a574-37b0f3d33704"/>
    <s v="Carl Chapman"/>
    <d v="1968-07-11T00:00:00"/>
    <x v="1"/>
    <x v="26"/>
    <s v="Antihistamines"/>
    <s v="Discussed potential for allergy testing."/>
    <d v="2022-05-09T00:00:00"/>
    <d v="2022-05-13T00:00:00"/>
    <n v="738.39"/>
    <n v="4"/>
    <x v="5"/>
    <x v="0"/>
    <n v="53"/>
  </r>
  <r>
    <s v="55447725-5cfc-4f8d-b224-878ccb7db19f"/>
    <s v="Luis Blair"/>
    <d v="1972-04-04T00:00:00"/>
    <x v="1"/>
    <x v="24"/>
    <s v="Rest"/>
    <s v="Monitor for any signs of worsening respiratory symptoms."/>
    <d v="2024-03-17T00:00:00"/>
    <d v="2024-04-03T00:00:00"/>
    <n v="737.09"/>
    <n v="17"/>
    <x v="10"/>
    <x v="3"/>
    <n v="51"/>
  </r>
  <r>
    <s v="92236d77-dd72-4ef7-b08d-e7ebef632713"/>
    <s v="Christopher Jones"/>
    <d v="1961-08-18T00:00:00"/>
    <x v="0"/>
    <x v="26"/>
    <s v="Avoidance of Allergens"/>
    <s v="Prescribed antihistamines for allergy relief."/>
    <d v="2022-04-10T00:00:00"/>
    <d v="2022-04-21T00:00:00"/>
    <n v="736.7"/>
    <n v="11"/>
    <x v="9"/>
    <x v="0"/>
    <n v="60"/>
  </r>
  <r>
    <s v="4366aced-07bf-48e2-beeb-279a7d10d451"/>
    <s v="Lisa Rice"/>
    <d v="1937-04-24T00:00:00"/>
    <x v="0"/>
    <x v="26"/>
    <s v="Avoidance of Allergens"/>
    <s v="Discussed potential for allergy testing."/>
    <d v="2024-04-09T00:00:00"/>
    <d v="2024-04-21T00:00:00"/>
    <n v="730.41"/>
    <n v="12"/>
    <x v="9"/>
    <x v="3"/>
    <n v="86"/>
  </r>
  <r>
    <s v="2290d0d4-7ce7-4958-a522-7d0b4b94103d"/>
    <s v="Michelle Thomas"/>
    <d v="1963-02-24T00:00:00"/>
    <x v="0"/>
    <x v="18"/>
    <s v="Hydration"/>
    <s v="Prescribed antiviral medication; start immediately."/>
    <d v="2023-06-24T00:00:00"/>
    <d v="2023-06-28T00:00:00"/>
    <n v="722.12"/>
    <n v="4"/>
    <x v="4"/>
    <x v="1"/>
    <n v="60"/>
  </r>
  <r>
    <s v="f01cd65e-f910-47de-9d95-5a40a311ab86"/>
    <s v="Dr. Dana Burgess MD"/>
    <d v="1961-10-16T00:00:00"/>
    <x v="0"/>
    <x v="19"/>
    <s v="Decongestants"/>
    <s v="Started on antibiotics for bacterial infection."/>
    <d v="2022-05-03T00:00:00"/>
    <d v="2022-05-07T00:00:00"/>
    <n v="721.84"/>
    <n v="4"/>
    <x v="5"/>
    <x v="0"/>
    <n v="60"/>
  </r>
  <r>
    <s v="d8b00c9d-3b60-4ea2-95f7-5ab886c4f59d"/>
    <s v="Ryan Baker"/>
    <d v="2018-06-29T00:00:00"/>
    <x v="0"/>
    <x v="18"/>
    <s v="Rest"/>
    <s v="Advised rest and maintain hydration."/>
    <d v="2023-11-03T00:00:00"/>
    <d v="2023-11-21T00:00:00"/>
    <n v="721.79"/>
    <n v="18"/>
    <x v="3"/>
    <x v="1"/>
    <n v="5"/>
  </r>
  <r>
    <s v="c3e70ecd-b794-4e9e-8136-ccf4ff363fe0"/>
    <s v="Robert Ross"/>
    <d v="1957-02-20T00:00:00"/>
    <x v="0"/>
    <x v="23"/>
    <s v="Pain Relief Medication"/>
    <s v="Follow-up to assess effectiveness of treatment."/>
    <d v="2021-07-13T00:00:00"/>
    <d v="2021-08-09T00:00:00"/>
    <n v="718.94"/>
    <n v="27"/>
    <x v="2"/>
    <x v="2"/>
    <n v="64"/>
  </r>
  <r>
    <s v="f6ceee18-d406-460e-af45-dd5f05175be2"/>
    <s v="Erica Gibbs"/>
    <d v="1959-04-14T00:00:00"/>
    <x v="1"/>
    <x v="21"/>
    <s v="Compression"/>
    <s v="Monitor for any signs of worsening symptoms."/>
    <d v="2023-06-21T00:00:00"/>
    <d v="2023-07-14T00:00:00"/>
    <n v="716.52"/>
    <n v="23"/>
    <x v="4"/>
    <x v="1"/>
    <n v="64"/>
  </r>
  <r>
    <s v="572e70db-bd90-4088-b132-39b461cbcba1"/>
    <s v="Brooke Cardenas"/>
    <d v="1999-12-01T00:00:00"/>
    <x v="0"/>
    <x v="27"/>
    <s v="Oral Antibiotics"/>
    <s v="Prescribed topical antibiotics for local infection."/>
    <d v="2023-11-25T00:00:00"/>
    <d v="2023-12-20T00:00:00"/>
    <n v="711.19"/>
    <n v="25"/>
    <x v="3"/>
    <x v="1"/>
    <n v="23"/>
  </r>
  <r>
    <s v="46e6c6f8-56c5-4c4a-a399-808c8ab3a450"/>
    <s v="Jacob Welch"/>
    <d v="1931-02-15T00:00:00"/>
    <x v="0"/>
    <x v="27"/>
    <s v="Topical Antibiotics"/>
    <s v="Started on oral antibiotics for more severe infection."/>
    <d v="2024-05-26T00:00:00"/>
    <d v="2024-06-02T00:00:00"/>
    <n v="691.75"/>
    <n v="7"/>
    <x v="5"/>
    <x v="3"/>
    <n v="93"/>
  </r>
  <r>
    <s v="a5e75ecc-1ced-495f-9be7-107392617369"/>
    <s v="Teresa Williams"/>
    <d v="1930-10-27T00:00:00"/>
    <x v="1"/>
    <x v="27"/>
    <s v="Oral Antibiotics"/>
    <s v="Prescribed topical antibiotics for local infection."/>
    <d v="2024-01-16T00:00:00"/>
    <d v="2024-01-18T00:00:00"/>
    <n v="690.77"/>
    <n v="2"/>
    <x v="1"/>
    <x v="3"/>
    <n v="93"/>
  </r>
  <r>
    <s v="ec8f333c-62e7-459a-974a-2581354b0468"/>
    <s v="Jerome Hamilton"/>
    <d v="2002-04-25T00:00:00"/>
    <x v="0"/>
    <x v="27"/>
    <s v="Topical Antibiotics"/>
    <s v="Started on oral antibiotics for more severe infection."/>
    <d v="2022-01-15T00:00:00"/>
    <d v="2022-02-07T00:00:00"/>
    <n v="688.81"/>
    <n v="23"/>
    <x v="1"/>
    <x v="0"/>
    <n v="19"/>
  </r>
  <r>
    <s v="42c53d65-b15c-48f6-be13-176c4ac9b9fe"/>
    <s v="Daniel Taylor"/>
    <d v="1942-10-29T00:00:00"/>
    <x v="1"/>
    <x v="25"/>
    <s v="Medication"/>
    <s v="Monitor for any signs of dehydration."/>
    <d v="2024-02-02T00:00:00"/>
    <d v="2024-02-29T00:00:00"/>
    <n v="686.96"/>
    <n v="27"/>
    <x v="11"/>
    <x v="3"/>
    <n v="81"/>
  </r>
  <r>
    <s v="71998e1e-9fca-4aad-bd44-a67b22cc9758"/>
    <s v="Peter Ward"/>
    <d v="1987-09-23T00:00:00"/>
    <x v="0"/>
    <x v="26"/>
    <s v="Antihistamines"/>
    <s v="Advised to avoid known allergens."/>
    <d v="2021-10-15T00:00:00"/>
    <d v="2021-11-04T00:00:00"/>
    <n v="683.73"/>
    <n v="20"/>
    <x v="8"/>
    <x v="2"/>
    <n v="34"/>
  </r>
  <r>
    <s v="e6fbd0dc-abee-4130-8aee-6b68eb6ff284"/>
    <s v="David Parker"/>
    <d v="1995-12-14T00:00:00"/>
    <x v="0"/>
    <x v="27"/>
    <s v="Oral Antibiotics"/>
    <s v="Advised to keep affected area clean and dry."/>
    <d v="2022-02-10T00:00:00"/>
    <d v="2022-03-04T00:00:00"/>
    <n v="677.22"/>
    <n v="22"/>
    <x v="11"/>
    <x v="0"/>
    <n v="26"/>
  </r>
  <r>
    <s v="16c3b1ba-c18a-48bf-b307-8160434f24e0"/>
    <s v="Emily Cole"/>
    <d v="1990-08-27T00:00:00"/>
    <x v="1"/>
    <x v="20"/>
    <s v="Topical Creams"/>
    <s v="Bandaged affected area to protect from further injury."/>
    <d v="2023-11-25T00:00:00"/>
    <d v="2023-12-23T00:00:00"/>
    <n v="677.16"/>
    <n v="28"/>
    <x v="3"/>
    <x v="1"/>
    <n v="33"/>
  </r>
  <r>
    <s v="8fa4a9b8-1829-4bbf-81e9-85d08353e8bb"/>
    <s v="Norma Key"/>
    <d v="2016-10-15T00:00:00"/>
    <x v="1"/>
    <x v="26"/>
    <s v="Avoidance of Allergens"/>
    <s v="Discussed potential for allergy testing."/>
    <d v="2023-08-30T00:00:00"/>
    <d v="2023-09-21T00:00:00"/>
    <n v="672.73"/>
    <n v="22"/>
    <x v="7"/>
    <x v="1"/>
    <n v="6"/>
  </r>
  <r>
    <s v="b8849c31-1273-4b66-ae81-a5c4947af117"/>
    <s v="Rita Hunt"/>
    <d v="1943-08-07T00:00:00"/>
    <x v="0"/>
    <x v="18"/>
    <s v="Hydration"/>
    <s v="Prescribed antiviral medication; start immediately."/>
    <d v="2021-10-17T00:00:00"/>
    <d v="2021-11-10T00:00:00"/>
    <n v="672.29"/>
    <n v="24"/>
    <x v="8"/>
    <x v="2"/>
    <n v="78"/>
  </r>
  <r>
    <s v="fe2457f7-4143-4557-8eaf-9426c54cff51"/>
    <s v="Matthew Davis"/>
    <d v="2023-03-09T00:00:00"/>
    <x v="1"/>
    <x v="27"/>
    <s v="Topical Antibiotics"/>
    <s v="Advised to keep affected area clean and dry."/>
    <d v="2023-11-05T00:00:00"/>
    <d v="2023-11-13T00:00:00"/>
    <n v="671.8"/>
    <n v="8"/>
    <x v="3"/>
    <x v="1"/>
    <n v="0"/>
  </r>
  <r>
    <s v="147a8254-a98b-4044-9ca2-fb7968113e64"/>
    <s v="Kristina Ellison"/>
    <d v="1929-01-28T00:00:00"/>
    <x v="1"/>
    <x v="25"/>
    <s v="Medication"/>
    <s v="Symptomatic treatment for nausea and vomiting."/>
    <d v="2023-07-15T00:00:00"/>
    <d v="2023-07-22T00:00:00"/>
    <n v="670.27"/>
    <n v="7"/>
    <x v="2"/>
    <x v="1"/>
    <n v="94"/>
  </r>
  <r>
    <s v="df442937-92f2-4a36-a5ee-278f30d03258"/>
    <s v="John Nguyen"/>
    <d v="1964-12-28T00:00:00"/>
    <x v="1"/>
    <x v="26"/>
    <s v="Avoidance of Allergens"/>
    <s v="Prescribed antihistamines for allergy relief."/>
    <d v="2023-06-28T00:00:00"/>
    <d v="2023-07-12T00:00:00"/>
    <n v="669.57"/>
    <n v="14"/>
    <x v="4"/>
    <x v="1"/>
    <n v="58"/>
  </r>
  <r>
    <s v="32683077-4d19-43bb-abb7-93ef84cc7f98"/>
    <s v="Pamela Wallace"/>
    <d v="2016-07-04T00:00:00"/>
    <x v="1"/>
    <x v="27"/>
    <s v="Topical Antibiotics"/>
    <s v="Advised to keep affected area clean and dry."/>
    <d v="2021-09-24T00:00:00"/>
    <d v="2021-10-09T00:00:00"/>
    <n v="658.07"/>
    <n v="15"/>
    <x v="6"/>
    <x v="2"/>
    <n v="5"/>
  </r>
  <r>
    <s v="0ec81113-5bba-40c3-8d92-69b25fbac6b0"/>
    <s v="Andrea Fitzgerald"/>
    <d v="1967-03-03T00:00:00"/>
    <x v="0"/>
    <x v="20"/>
    <s v="Bandaging"/>
    <s v="Bandaged affected area to protect from further injury."/>
    <d v="2023-05-21T00:00:00"/>
    <d v="2023-06-15T00:00:00"/>
    <n v="651.95000000000005"/>
    <n v="25"/>
    <x v="5"/>
    <x v="1"/>
    <n v="56"/>
  </r>
  <r>
    <s v="08e578b1-376d-47f9-a803-088e0a2bb62a"/>
    <s v="Julia Wells"/>
    <d v="1992-02-14T00:00:00"/>
    <x v="0"/>
    <x v="23"/>
    <s v="Pain Relief Medication"/>
    <s v="Prescribed medication for immediate pain relief."/>
    <d v="2021-09-20T00:00:00"/>
    <d v="2021-10-01T00:00:00"/>
    <n v="649.54"/>
    <n v="11"/>
    <x v="6"/>
    <x v="2"/>
    <n v="29"/>
  </r>
  <r>
    <s v="53c9c6e7-eae4-42d9-9f31-70e336feefd9"/>
    <s v="Matthew Herrera"/>
    <d v="1990-05-05T00:00:00"/>
    <x v="1"/>
    <x v="27"/>
    <s v="Topical Antibiotics"/>
    <s v="Started on oral antibiotics for more severe infection."/>
    <d v="2024-05-05T00:00:00"/>
    <d v="2024-05-17T00:00:00"/>
    <n v="648.09"/>
    <n v="12"/>
    <x v="5"/>
    <x v="3"/>
    <n v="34"/>
  </r>
  <r>
    <s v="9aca7978-eda0-47c6-ab25-df6e23f1dd88"/>
    <s v="Jason Phillips"/>
    <d v="2003-03-22T00:00:00"/>
    <x v="0"/>
    <x v="26"/>
    <s v="Avoidance of Allergens"/>
    <s v="Discussed potential for allergy testing."/>
    <d v="2021-10-21T00:00:00"/>
    <d v="2021-11-08T00:00:00"/>
    <n v="647.42999999999995"/>
    <n v="18"/>
    <x v="8"/>
    <x v="2"/>
    <n v="18"/>
  </r>
  <r>
    <s v="c7a84140-894f-4242-a63e-3cbb2873c6d5"/>
    <s v="Angela Holland"/>
    <d v="1947-10-11T00:00:00"/>
    <x v="1"/>
    <x v="24"/>
    <s v="Rest"/>
    <s v="Started on antibiotics for bacterial infection."/>
    <d v="2023-02-08T00:00:00"/>
    <d v="2023-03-09T00:00:00"/>
    <n v="639.29999999999995"/>
    <n v="29"/>
    <x v="11"/>
    <x v="1"/>
    <n v="75"/>
  </r>
  <r>
    <s v="28425deb-d02f-4800-829b-b03491a27395"/>
    <s v="Andrew Frye"/>
    <d v="2001-05-23T00:00:00"/>
    <x v="1"/>
    <x v="27"/>
    <s v="Topical Antibiotics"/>
    <s v="Advised to keep affected area clean and dry."/>
    <d v="2022-07-29T00:00:00"/>
    <d v="2022-08-26T00:00:00"/>
    <n v="637.21"/>
    <n v="28"/>
    <x v="2"/>
    <x v="0"/>
    <n v="21"/>
  </r>
  <r>
    <s v="9860f798-9ded-4332-b176-c515b32e5562"/>
    <s v="Jennifer Petty"/>
    <d v="1927-10-25T00:00:00"/>
    <x v="1"/>
    <x v="23"/>
    <s v="Pain Relief Medication"/>
    <s v="Prescribed medication for immediate pain relief."/>
    <d v="2024-02-04T00:00:00"/>
    <d v="2024-03-05T00:00:00"/>
    <n v="635.23"/>
    <n v="30"/>
    <x v="11"/>
    <x v="3"/>
    <n v="96"/>
  </r>
  <r>
    <s v="388c0caa-f97e-4358-8a13-0edc77f601ec"/>
    <s v="Nancy Payne"/>
    <d v="2016-07-07T00:00:00"/>
    <x v="1"/>
    <x v="27"/>
    <s v="Topical Antibiotics"/>
    <s v="Prescribed topical antibiotics for local infection."/>
    <d v="2023-03-15T00:00:00"/>
    <d v="2023-04-03T00:00:00"/>
    <n v="619.52"/>
    <n v="19"/>
    <x v="10"/>
    <x v="1"/>
    <n v="6"/>
  </r>
  <r>
    <s v="72b07908-c62c-4d50-b84a-73c953caf917"/>
    <s v="Michael Boyer"/>
    <d v="1975-07-02T00:00:00"/>
    <x v="1"/>
    <x v="27"/>
    <s v="Oral Antibiotics"/>
    <s v="Started on oral antibiotics for more severe infection."/>
    <d v="2023-08-07T00:00:00"/>
    <d v="2023-09-06T00:00:00"/>
    <n v="614.26"/>
    <n v="30"/>
    <x v="7"/>
    <x v="1"/>
    <n v="48"/>
  </r>
  <r>
    <s v="e94b8ad3-5edc-498e-b170-51ae8fd1c7a9"/>
    <s v="James Schwartz"/>
    <d v="1928-12-12T00:00:00"/>
    <x v="1"/>
    <x v="21"/>
    <s v="Rest"/>
    <s v="Prescribed pain relief medication."/>
    <d v="2024-02-06T00:00:00"/>
    <d v="2024-02-12T00:00:00"/>
    <n v="607.32000000000005"/>
    <n v="6"/>
    <x v="11"/>
    <x v="3"/>
    <n v="95"/>
  </r>
  <r>
    <s v="3e62255f-a8ff-4591-af52-0bf127d67284"/>
    <s v="Jasmine Cruz"/>
    <d v="1953-03-31T00:00:00"/>
    <x v="1"/>
    <x v="26"/>
    <s v="Antihistamines"/>
    <s v="Advised to avoid known allergens."/>
    <d v="2022-08-24T00:00:00"/>
    <d v="2022-09-10T00:00:00"/>
    <n v="606.69000000000005"/>
    <n v="17"/>
    <x v="7"/>
    <x v="0"/>
    <n v="69"/>
  </r>
  <r>
    <s v="005bbfcb-495a-4b73-8313-cafc7fb3ef0f"/>
    <s v="Jimmy Martin"/>
    <d v="1986-03-04T00:00:00"/>
    <x v="1"/>
    <x v="23"/>
    <s v="Lifestyle Changes"/>
    <s v="Prescribed medication for immediate pain relief."/>
    <d v="2023-12-23T00:00:00"/>
    <d v="2024-01-07T00:00:00"/>
    <n v="603.32000000000005"/>
    <n v="15"/>
    <x v="0"/>
    <x v="1"/>
    <n v="37"/>
  </r>
  <r>
    <s v="0416bef8-c0ed-4b71-a621-40cbc5263a60"/>
    <s v="Matthew Chen"/>
    <d v="1924-10-24T00:00:00"/>
    <x v="0"/>
    <x v="23"/>
    <s v="Lifestyle Changes"/>
    <s v="Advised on lifestyle changes to reduce migraine triggers."/>
    <d v="2022-02-04T00:00:00"/>
    <d v="2022-02-12T00:00:00"/>
    <n v="595.41999999999996"/>
    <n v="8"/>
    <x v="11"/>
    <x v="0"/>
    <n v="97"/>
  </r>
  <r>
    <s v="3f7154a7-2442-4564-a606-39b8c7d39dab"/>
    <s v="Mr. Paul Pearson MD"/>
    <d v="1973-09-26T00:00:00"/>
    <x v="1"/>
    <x v="27"/>
    <s v="Topical Antibiotics"/>
    <s v="Started on oral antibiotics for more severe infection."/>
    <d v="2024-02-13T00:00:00"/>
    <d v="2024-02-18T00:00:00"/>
    <n v="591.62"/>
    <n v="5"/>
    <x v="11"/>
    <x v="3"/>
    <n v="50"/>
  </r>
  <r>
    <s v="41e07b05-c70a-4479-a0a8-3de8fca5c18f"/>
    <s v="Terry Kaufman"/>
    <d v="1990-04-29T00:00:00"/>
    <x v="1"/>
    <x v="20"/>
    <s v="Bandaging"/>
    <s v="Applied topical creams to prevent infection."/>
    <d v="2023-01-07T00:00:00"/>
    <d v="2023-01-17T00:00:00"/>
    <n v="558.25"/>
    <n v="10"/>
    <x v="1"/>
    <x v="1"/>
    <n v="32"/>
  </r>
  <r>
    <s v="f268348a-e7fb-4985-b53e-47018215a80d"/>
    <s v="George Martinez"/>
    <d v="1945-04-17T00:00:00"/>
    <x v="1"/>
    <x v="27"/>
    <s v="Topical Antibiotics"/>
    <s v="Prescribed topical antibiotics for local infection."/>
    <d v="2021-08-20T00:00:00"/>
    <d v="2021-08-30T00:00:00"/>
    <n v="556.92999999999995"/>
    <n v="10"/>
    <x v="7"/>
    <x v="2"/>
    <n v="76"/>
  </r>
  <r>
    <s v="fb90643f-603e-438f-96a9-dfd5f13a5e86"/>
    <s v="Sara Crawford"/>
    <d v="1935-11-06T00:00:00"/>
    <x v="0"/>
    <x v="26"/>
    <s v="Avoidance of Allergens"/>
    <s v="Prescribed antihistamines for allergy relief."/>
    <d v="2023-08-27T00:00:00"/>
    <d v="2023-09-11T00:00:00"/>
    <n v="556.72"/>
    <n v="15"/>
    <x v="7"/>
    <x v="1"/>
    <n v="87"/>
  </r>
  <r>
    <s v="1d2c8d74-a366-4d71-8b46-4cdedf9b3dc8"/>
    <s v="Judith Stone"/>
    <d v="1961-05-23T00:00:00"/>
    <x v="1"/>
    <x v="25"/>
    <s v="Rehydration Therapy"/>
    <s v="Monitor for any signs of dehydration."/>
    <d v="2023-12-22T00:00:00"/>
    <d v="2023-12-31T00:00:00"/>
    <n v="553.15"/>
    <n v="9"/>
    <x v="0"/>
    <x v="1"/>
    <n v="62"/>
  </r>
  <r>
    <s v="d0494167-0c00-4b71-adfa-20ea08bc135f"/>
    <s v="Jennifer Burnett"/>
    <d v="1942-02-25T00:00:00"/>
    <x v="0"/>
    <x v="26"/>
    <s v="Avoidance of Allergens"/>
    <s v="Prescribed antihistamines for allergy relief."/>
    <d v="2022-01-23T00:00:00"/>
    <d v="2022-02-03T00:00:00"/>
    <n v="547.85"/>
    <n v="11"/>
    <x v="1"/>
    <x v="0"/>
    <n v="79"/>
  </r>
  <r>
    <s v="b7f3f670-b755-456a-be8e-9c1c3aa79a1d"/>
    <s v="Brianna Ray"/>
    <d v="2001-12-12T00:00:00"/>
    <x v="1"/>
    <x v="26"/>
    <s v="Antihistamines"/>
    <s v="Advised to avoid known allergens."/>
    <d v="2024-04-18T00:00:00"/>
    <d v="2024-05-06T00:00:00"/>
    <n v="547.52"/>
    <n v="18"/>
    <x v="9"/>
    <x v="3"/>
    <n v="22"/>
  </r>
  <r>
    <s v="22601535-1947-4a42-b99e-df48278fe65e"/>
    <s v="Sara Gould"/>
    <d v="2020-12-22T00:00:00"/>
    <x v="1"/>
    <x v="24"/>
    <s v="Rest"/>
    <s v="Monitor for any signs of worsening respiratory symptoms."/>
    <d v="2024-06-13T00:00:00"/>
    <d v="2024-07-06T00:00:00"/>
    <n v="539.84"/>
    <n v="23"/>
    <x v="4"/>
    <x v="3"/>
    <n v="3"/>
  </r>
  <r>
    <s v="f082337f-326b-47df-b2f8-cf24e98abd9c"/>
    <s v="Shannon Mcknight"/>
    <d v="1998-10-25T00:00:00"/>
    <x v="1"/>
    <x v="23"/>
    <s v="Pain Relief Medication"/>
    <s v="Prescribed medication for immediate pain relief."/>
    <d v="2022-10-17T00:00:00"/>
    <d v="2022-11-09T00:00:00"/>
    <n v="537.79"/>
    <n v="23"/>
    <x v="8"/>
    <x v="0"/>
    <n v="23"/>
  </r>
  <r>
    <s v="40ebdebd-3cbb-4914-9d68-87adde143c87"/>
    <s v="Yolanda Gilmore"/>
    <d v="2001-04-14T00:00:00"/>
    <x v="0"/>
    <x v="27"/>
    <s v="Topical Antibiotics"/>
    <s v="Prescribed topical antibiotics for local infection."/>
    <d v="2022-05-08T00:00:00"/>
    <d v="2022-05-26T00:00:00"/>
    <n v="535.4"/>
    <n v="18"/>
    <x v="5"/>
    <x v="0"/>
    <n v="21"/>
  </r>
  <r>
    <s v="f38c66fd-b307-4451-abd6-1d7c35f0fc18"/>
    <s v="Kevin Harris"/>
    <d v="1956-01-29T00:00:00"/>
    <x v="1"/>
    <x v="26"/>
    <s v="Avoidance of Allergens"/>
    <s v="Discussed potential for allergy testing."/>
    <d v="2022-10-21T00:00:00"/>
    <d v="2022-11-20T00:00:00"/>
    <n v="522.17999999999995"/>
    <n v="30"/>
    <x v="8"/>
    <x v="0"/>
    <n v="66"/>
  </r>
  <r>
    <s v="5a613c6c-c054-402d-8322-6cfca8b2f248"/>
    <s v="Courtney Perkins"/>
    <d v="1977-10-30T00:00:00"/>
    <x v="1"/>
    <x v="23"/>
    <s v="Lifestyle Changes"/>
    <s v="Advised on lifestyle changes to reduce migraine triggers."/>
    <d v="2024-04-19T00:00:00"/>
    <d v="2024-05-06T00:00:00"/>
    <n v="521.58000000000004"/>
    <n v="17"/>
    <x v="9"/>
    <x v="3"/>
    <n v="46"/>
  </r>
  <r>
    <s v="3431b698-63ba-4c55-b134-5eb528e10c62"/>
    <s v="Michael Sexton"/>
    <d v="2000-02-25T00:00:00"/>
    <x v="1"/>
    <x v="26"/>
    <s v="Antihistamines"/>
    <s v="Advised to avoid known allergens."/>
    <d v="2023-10-29T00:00:00"/>
    <d v="2023-11-10T00:00:00"/>
    <n v="520.25"/>
    <n v="12"/>
    <x v="8"/>
    <x v="1"/>
    <n v="23"/>
  </r>
  <r>
    <s v="49728ec7-ee45-43f4-ac76-ccca264846cc"/>
    <s v="Travis Sanders"/>
    <d v="1927-11-08T00:00:00"/>
    <x v="1"/>
    <x v="21"/>
    <s v="Elevation"/>
    <s v="Prescribed pain relief medication."/>
    <d v="2023-10-01T00:00:00"/>
    <d v="2023-10-15T00:00:00"/>
    <n v="520.09"/>
    <n v="14"/>
    <x v="8"/>
    <x v="1"/>
    <n v="95"/>
  </r>
  <r>
    <s v="493b0227-b5b2-4ddb-8063-572ea811d398"/>
    <s v="Kathleen Rodriguez"/>
    <d v="2012-11-15T00:00:00"/>
    <x v="1"/>
    <x v="24"/>
    <s v="Rest"/>
    <s v="Prescribed cough medicine and advised rest."/>
    <d v="2024-06-15T00:00:00"/>
    <d v="2024-06-16T00:00:00"/>
    <n v="513.84"/>
    <n v="1"/>
    <x v="4"/>
    <x v="3"/>
    <n v="11"/>
  </r>
  <r>
    <s v="03f9e350-3a81-48a8-a678-cbdf722b3e55"/>
    <s v="William Cohen"/>
    <d v="1994-10-24T00:00:00"/>
    <x v="0"/>
    <x v="27"/>
    <s v="Oral Antibiotics"/>
    <s v="Advised to keep affected area clean and dry."/>
    <d v="2023-12-24T00:00:00"/>
    <d v="2024-01-14T00:00:00"/>
    <n v="512.49"/>
    <n v="21"/>
    <x v="0"/>
    <x v="1"/>
    <n v="29"/>
  </r>
  <r>
    <s v="37296fb3-f154-47d0-b53c-c474215e8526"/>
    <s v="John Ramsey"/>
    <d v="1931-07-25T00:00:00"/>
    <x v="1"/>
    <x v="28"/>
    <s v="Over-the-counter Medication"/>
    <s v="Symptoms should improve within a week."/>
    <d v="2023-08-15T00:00:00"/>
    <d v="2023-09-02T00:00:00"/>
    <n v="494.22"/>
    <n v="18"/>
    <x v="7"/>
    <x v="1"/>
    <n v="92"/>
  </r>
  <r>
    <s v="34f6a994-3a6a-40fd-b8f7-b8f733d97f98"/>
    <s v="Steven White"/>
    <d v="1998-10-29T00:00:00"/>
    <x v="1"/>
    <x v="27"/>
    <s v="Topical Antibiotics"/>
    <s v="Started on oral antibiotics for more severe infection."/>
    <d v="2022-09-14T00:00:00"/>
    <d v="2022-09-20T00:00:00"/>
    <n v="484.66"/>
    <n v="6"/>
    <x v="6"/>
    <x v="0"/>
    <n v="23"/>
  </r>
  <r>
    <s v="a89596c2-917a-4e07-9477-90a81fde5345"/>
    <s v="Elijah Morrow"/>
    <d v="1969-11-26T00:00:00"/>
    <x v="0"/>
    <x v="28"/>
    <s v="Rest"/>
    <s v="Advised rest and increased fluid intake."/>
    <d v="2021-11-04T00:00:00"/>
    <d v="2021-11-14T00:00:00"/>
    <n v="482.23"/>
    <n v="10"/>
    <x v="3"/>
    <x v="2"/>
    <n v="51"/>
  </r>
  <r>
    <s v="5f3b7630-f726-47c6-a855-2041838127dc"/>
    <s v="Sophia West"/>
    <d v="1960-09-08T00:00:00"/>
    <x v="1"/>
    <x v="28"/>
    <s v="Rest"/>
    <s v="Advised rest and increased fluid intake."/>
    <d v="2022-08-17T00:00:00"/>
    <d v="2022-09-03T00:00:00"/>
    <n v="462.03"/>
    <n v="17"/>
    <x v="7"/>
    <x v="0"/>
    <n v="61"/>
  </r>
  <r>
    <s v="9b141076-3913-447c-88df-5f566b37b09d"/>
    <s v="Stephanie Mitchell"/>
    <d v="1988-12-23T00:00:00"/>
    <x v="0"/>
    <x v="26"/>
    <s v="Antihistamines"/>
    <s v="Prescribed antihistamines for allergy relief."/>
    <d v="2022-01-29T00:00:00"/>
    <d v="2022-02-03T00:00:00"/>
    <n v="458.38"/>
    <n v="5"/>
    <x v="1"/>
    <x v="0"/>
    <n v="33"/>
  </r>
  <r>
    <s v="7ec24c12-3322-4ad5-9358-43399253a89b"/>
    <s v="Mr. Spencer Cannon"/>
    <d v="1997-08-16T00:00:00"/>
    <x v="0"/>
    <x v="27"/>
    <s v="Oral Antibiotics"/>
    <s v="Prescribed topical antibiotics for local infection."/>
    <d v="2023-04-01T00:00:00"/>
    <d v="2023-04-27T00:00:00"/>
    <n v="453.52"/>
    <n v="26"/>
    <x v="9"/>
    <x v="1"/>
    <n v="25"/>
  </r>
  <r>
    <s v="4355ffcd-677c-4c4c-bee1-bbb41af08d61"/>
    <s v="Brian Gomez"/>
    <d v="1953-09-22T00:00:00"/>
    <x v="0"/>
    <x v="26"/>
    <s v="Avoidance of Allergens"/>
    <s v="Discussed potential for allergy testing."/>
    <d v="2022-09-03T00:00:00"/>
    <d v="2022-09-24T00:00:00"/>
    <n v="449.53"/>
    <n v="21"/>
    <x v="6"/>
    <x v="0"/>
    <n v="68"/>
  </r>
  <r>
    <s v="fc30ca90-9054-42fd-b16a-a4afabff0965"/>
    <s v="Aaron Nguyen"/>
    <d v="1937-12-08T00:00:00"/>
    <x v="0"/>
    <x v="26"/>
    <s v="Antihistamines"/>
    <s v="Prescribed antihistamines for allergy relief."/>
    <d v="2023-04-23T00:00:00"/>
    <d v="2023-05-10T00:00:00"/>
    <n v="442.22"/>
    <n v="17"/>
    <x v="9"/>
    <x v="1"/>
    <n v="85"/>
  </r>
  <r>
    <s v="76b00d2d-a508-4ecc-86a6-343784d270a3"/>
    <s v="Justin Parker"/>
    <d v="1963-03-28T00:00:00"/>
    <x v="0"/>
    <x v="28"/>
    <s v="Over-the-counter Medication"/>
    <s v="Symptoms should improve within a week."/>
    <d v="2023-01-01T00:00:00"/>
    <d v="2023-01-06T00:00:00"/>
    <n v="441.81"/>
    <n v="5"/>
    <x v="1"/>
    <x v="1"/>
    <n v="59"/>
  </r>
  <r>
    <s v="77016a3e-21f9-4660-b806-b1db2ba11e5b"/>
    <s v="Jeffrey Watson"/>
    <d v="1930-01-13T00:00:00"/>
    <x v="0"/>
    <x v="27"/>
    <s v="Oral Antibiotics"/>
    <s v="Advised to keep affected area clean and dry."/>
    <d v="2024-06-16T00:00:00"/>
    <d v="2024-07-16T00:00:00"/>
    <n v="435.53"/>
    <n v="30"/>
    <x v="4"/>
    <x v="3"/>
    <n v="94"/>
  </r>
  <r>
    <s v="152f63bc-c232-4283-a23a-31cc6df85745"/>
    <s v="Elizabeth Doyle"/>
    <d v="1936-01-24T00:00:00"/>
    <x v="0"/>
    <x v="26"/>
    <s v="Avoidance of Allergens"/>
    <s v="Discussed potential for allergy testing."/>
    <d v="2023-05-03T00:00:00"/>
    <d v="2023-05-09T00:00:00"/>
    <n v="422.71"/>
    <n v="6"/>
    <x v="5"/>
    <x v="1"/>
    <n v="87"/>
  </r>
  <r>
    <s v="7c2c439f-1d2f-49ea-8ee4-1316b5b86058"/>
    <s v="Christopher Byrd"/>
    <d v="1994-11-23T00:00:00"/>
    <x v="1"/>
    <x v="27"/>
    <s v="Oral Antibiotics"/>
    <s v="Started on oral antibiotics for more severe infection."/>
    <d v="2023-06-26T00:00:00"/>
    <d v="2023-07-22T00:00:00"/>
    <n v="416.37"/>
    <n v="26"/>
    <x v="4"/>
    <x v="1"/>
    <n v="28"/>
  </r>
  <r>
    <s v="dccb5b66-6eea-460e-af7d-8d939e0ee493"/>
    <s v="Amy Thompson"/>
    <d v="1981-08-01T00:00:00"/>
    <x v="1"/>
    <x v="27"/>
    <s v="Topical Antibiotics"/>
    <s v="Prescribed topical antibiotics for local infection."/>
    <d v="2022-09-12T00:00:00"/>
    <d v="2022-10-12T00:00:00"/>
    <n v="412.26"/>
    <n v="30"/>
    <x v="6"/>
    <x v="0"/>
    <n v="41"/>
  </r>
  <r>
    <s v="fe071aa7-5ad9-4060-bef7-4feeb8253d41"/>
    <s v="Michael Keller"/>
    <d v="1994-08-28T00:00:00"/>
    <x v="0"/>
    <x v="26"/>
    <s v="Avoidance of Allergens"/>
    <s v="Prescribed antihistamines for allergy relief."/>
    <d v="2023-02-07T00:00:00"/>
    <d v="2023-03-06T00:00:00"/>
    <n v="408.8"/>
    <n v="27"/>
    <x v="11"/>
    <x v="1"/>
    <n v="28"/>
  </r>
  <r>
    <s v="e9f2bb28-424a-42c4-8fd5-d644f1a1790a"/>
    <s v="Heather Johnson"/>
    <d v="1951-04-22T00:00:00"/>
    <x v="1"/>
    <x v="27"/>
    <s v="Topical Antibiotics"/>
    <s v="Started on oral antibiotics for more severe infection."/>
    <d v="2021-09-19T00:00:00"/>
    <d v="2021-09-30T00:00:00"/>
    <n v="402.9"/>
    <n v="11"/>
    <x v="6"/>
    <x v="2"/>
    <n v="70"/>
  </r>
  <r>
    <s v="4ece07ba-b1e8-43f3-ae36-b2b6635440f3"/>
    <s v="Justin Morales"/>
    <d v="1982-03-25T00:00:00"/>
    <x v="1"/>
    <x v="26"/>
    <s v="Avoidance of Allergens"/>
    <s v="Discussed potential for allergy testing."/>
    <d v="2024-03-03T00:00:00"/>
    <d v="2024-03-11T00:00:00"/>
    <n v="399.88"/>
    <n v="8"/>
    <x v="10"/>
    <x v="3"/>
    <n v="41"/>
  </r>
  <r>
    <s v="8c644d04-2abf-429d-9464-327d572b84df"/>
    <s v="Bridget Smith"/>
    <d v="1955-06-08T00:00:00"/>
    <x v="1"/>
    <x v="28"/>
    <s v="Over-the-counter Medication"/>
    <s v="Advised rest and increased fluid intake."/>
    <d v="2023-10-06T00:00:00"/>
    <d v="2023-10-12T00:00:00"/>
    <n v="386.02"/>
    <n v="6"/>
    <x v="8"/>
    <x v="1"/>
    <n v="68"/>
  </r>
  <r>
    <s v="8e2304d5-71c1-42db-9a57-d28c100346ba"/>
    <s v="Tiffany Williamson"/>
    <d v="1982-07-28T00:00:00"/>
    <x v="1"/>
    <x v="28"/>
    <s v="Rest"/>
    <s v="Symptoms should improve within a week."/>
    <d v="2023-12-10T00:00:00"/>
    <d v="2023-12-11T00:00:00"/>
    <n v="385.33"/>
    <n v="1"/>
    <x v="0"/>
    <x v="1"/>
    <n v="41"/>
  </r>
  <r>
    <s v="b727268a-6515-42a7-864d-ec8813b81c84"/>
    <s v="Gabrielle Kelly"/>
    <d v="1997-02-07T00:00:00"/>
    <x v="1"/>
    <x v="27"/>
    <s v="Topical Antibiotics"/>
    <s v="Started on oral antibiotics for more severe infection."/>
    <d v="2021-10-27T00:00:00"/>
    <d v="2021-10-31T00:00:00"/>
    <n v="383.38"/>
    <n v="4"/>
    <x v="8"/>
    <x v="2"/>
    <n v="24"/>
  </r>
  <r>
    <s v="78f2a9eb-723c-44ac-a2b5-72f934bc6bbb"/>
    <s v="Gregory Ramos"/>
    <d v="1935-12-07T00:00:00"/>
    <x v="1"/>
    <x v="28"/>
    <s v="Rest"/>
    <s v="Symptoms should improve within a week."/>
    <d v="2023-08-30T00:00:00"/>
    <d v="2023-08-31T00:00:00"/>
    <n v="375.38"/>
    <n v="1"/>
    <x v="7"/>
    <x v="1"/>
    <n v="87"/>
  </r>
  <r>
    <s v="8ec34d2d-6ac1-46e7-a4b5-f8adff308686"/>
    <s v="Zachary Foster"/>
    <d v="2009-04-24T00:00:00"/>
    <x v="1"/>
    <x v="28"/>
    <s v="Rest"/>
    <s v="Symptoms should improve within a week."/>
    <d v="2021-10-29T00:00:00"/>
    <d v="2021-11-14T00:00:00"/>
    <n v="367.55"/>
    <n v="16"/>
    <x v="8"/>
    <x v="2"/>
    <n v="12"/>
  </r>
  <r>
    <s v="fbcccc36-8b90-453d-bf60-5eb3ab0a6a03"/>
    <s v="Stacy Garrison"/>
    <d v="1938-02-07T00:00:00"/>
    <x v="1"/>
    <x v="28"/>
    <s v="Hydration"/>
    <s v="Recommended over-the-counter medication for symptom relief."/>
    <d v="2022-08-24T00:00:00"/>
    <d v="2022-09-02T00:00:00"/>
    <n v="365.99"/>
    <n v="9"/>
    <x v="7"/>
    <x v="0"/>
    <n v="84"/>
  </r>
  <r>
    <s v="fb713076-bf22-420f-a4b3-6d8897c3efe6"/>
    <s v="Manuel May"/>
    <d v="2015-03-25T00:00:00"/>
    <x v="1"/>
    <x v="27"/>
    <s v="Topical Antibiotics"/>
    <s v="Advised to keep affected area clean and dry."/>
    <d v="2022-01-02T00:00:00"/>
    <d v="2022-01-04T00:00:00"/>
    <n v="363.31"/>
    <n v="2"/>
    <x v="1"/>
    <x v="0"/>
    <n v="6"/>
  </r>
  <r>
    <s v="16f688fc-748a-4cb8-97d3-7a4855dbc493"/>
    <s v="Kendra Cruz"/>
    <d v="1969-04-18T00:00:00"/>
    <x v="0"/>
    <x v="26"/>
    <s v="Antihistamines"/>
    <s v="Discussed potential for allergy testing."/>
    <d v="2024-03-22T00:00:00"/>
    <d v="2024-04-07T00:00:00"/>
    <n v="360.68"/>
    <n v="16"/>
    <x v="10"/>
    <x v="3"/>
    <n v="54"/>
  </r>
  <r>
    <s v="45bf115d-e2e1-4c75-a8de-cb2fa26e5114"/>
    <s v="Krystal Wilson"/>
    <d v="1964-12-26T00:00:00"/>
    <x v="0"/>
    <x v="27"/>
    <s v="Topical Antibiotics"/>
    <s v="Advised to keep affected area clean and dry."/>
    <d v="2023-03-25T00:00:00"/>
    <d v="2023-04-07T00:00:00"/>
    <n v="359.86"/>
    <n v="13"/>
    <x v="10"/>
    <x v="1"/>
    <n v="58"/>
  </r>
  <r>
    <s v="8582939a-0a40-4c78-a97a-76391a277953"/>
    <s v="Chase Kim"/>
    <d v="2021-09-18T00:00:00"/>
    <x v="1"/>
    <x v="28"/>
    <s v="Hydration"/>
    <s v="Recommended over-the-counter medication for symptom relief."/>
    <d v="2022-10-19T00:00:00"/>
    <d v="2022-10-23T00:00:00"/>
    <n v="357.92"/>
    <n v="4"/>
    <x v="8"/>
    <x v="0"/>
    <n v="1"/>
  </r>
  <r>
    <s v="e23b5213-8c05-4aa0-8083-5ff55f79dd74"/>
    <s v="Jennifer Jordan"/>
    <d v="2013-05-31T00:00:00"/>
    <x v="0"/>
    <x v="26"/>
    <s v="Antihistamines"/>
    <s v="Discussed potential for allergy testing."/>
    <d v="2023-07-28T00:00:00"/>
    <d v="2023-07-29T00:00:00"/>
    <n v="357.73"/>
    <n v="1"/>
    <x v="2"/>
    <x v="1"/>
    <n v="10"/>
  </r>
  <r>
    <s v="185c3f01-4982-42a4-b931-18b6e2b8a787"/>
    <s v="Hannah Carter"/>
    <d v="1964-02-20T00:00:00"/>
    <x v="1"/>
    <x v="28"/>
    <s v="Rest"/>
    <s v="Advised rest and increased fluid intake."/>
    <d v="2021-11-03T00:00:00"/>
    <d v="2021-11-27T00:00:00"/>
    <n v="345.64"/>
    <n v="24"/>
    <x v="3"/>
    <x v="2"/>
    <n v="57"/>
  </r>
  <r>
    <s v="886b9151-b62a-4494-a51b-6e6cb31a2420"/>
    <s v="Dawn Anderson"/>
    <d v="1975-02-01T00:00:00"/>
    <x v="1"/>
    <x v="26"/>
    <s v="Antihistamines"/>
    <s v="Prescribed antihistamines for allergy relief."/>
    <d v="2021-11-26T00:00:00"/>
    <d v="2021-11-29T00:00:00"/>
    <n v="340.6"/>
    <n v="3"/>
    <x v="3"/>
    <x v="2"/>
    <n v="46"/>
  </r>
  <r>
    <s v="8d3f2e70-6ec3-4a05-99cf-f27629e95d11"/>
    <s v="Omar Anderson"/>
    <d v="2006-01-21T00:00:00"/>
    <x v="0"/>
    <x v="28"/>
    <s v="Rest"/>
    <s v="Symptoms should improve within a week."/>
    <d v="2022-05-17T00:00:00"/>
    <d v="2022-05-25T00:00:00"/>
    <n v="339.23"/>
    <n v="8"/>
    <x v="5"/>
    <x v="0"/>
    <n v="16"/>
  </r>
  <r>
    <s v="784c64c0-055c-49cf-9323-8fe6795e813f"/>
    <s v="Holly Rosario"/>
    <d v="1974-08-27T00:00:00"/>
    <x v="1"/>
    <x v="28"/>
    <s v="Hydration"/>
    <s v="Advised rest and increased fluid intake."/>
    <d v="2023-01-20T00:00:00"/>
    <d v="2023-01-31T00:00:00"/>
    <n v="338.37"/>
    <n v="11"/>
    <x v="1"/>
    <x v="1"/>
    <n v="48"/>
  </r>
  <r>
    <s v="0df01bb8-b9b8-4d91-a5ac-e3e744286d7d"/>
    <s v="Kelly Roberts"/>
    <d v="1938-02-11T00:00:00"/>
    <x v="1"/>
    <x v="28"/>
    <s v="Hydration"/>
    <s v="Symptoms should improve within a week."/>
    <d v="2021-07-29T00:00:00"/>
    <d v="2021-08-28T00:00:00"/>
    <n v="333.02"/>
    <n v="30"/>
    <x v="2"/>
    <x v="2"/>
    <n v="83"/>
  </r>
  <r>
    <s v="65fe8ce2-b452-45b8-8d95-b8047d12c26a"/>
    <s v="Mark Mendez"/>
    <d v="1946-10-18T00:00:00"/>
    <x v="0"/>
    <x v="27"/>
    <s v="Topical Antibiotics"/>
    <s v="Advised to keep affected area clean and dry."/>
    <d v="2021-08-07T00:00:00"/>
    <d v="2021-08-23T00:00:00"/>
    <n v="330.81"/>
    <n v="16"/>
    <x v="7"/>
    <x v="2"/>
    <n v="74"/>
  </r>
  <r>
    <s v="33b2a39f-8fde-4997-a63c-17a0a3552237"/>
    <s v="David Brown"/>
    <d v="1954-06-13T00:00:00"/>
    <x v="0"/>
    <x v="28"/>
    <s v="Over-the-counter Medication"/>
    <s v="Symptoms should improve within a week."/>
    <d v="2023-03-13T00:00:00"/>
    <d v="2023-04-10T00:00:00"/>
    <n v="328.93"/>
    <n v="28"/>
    <x v="10"/>
    <x v="1"/>
    <n v="68"/>
  </r>
  <r>
    <s v="73d9cc8b-00c8-403c-8ec0-739647035a29"/>
    <s v="Donald Bullock"/>
    <d v="1987-02-21T00:00:00"/>
    <x v="1"/>
    <x v="28"/>
    <s v="Rest"/>
    <s v="Advised rest and increased fluid intake."/>
    <d v="2023-12-23T00:00:00"/>
    <d v="2024-01-01T00:00:00"/>
    <n v="327.33"/>
    <n v="9"/>
    <x v="0"/>
    <x v="1"/>
    <n v="36"/>
  </r>
  <r>
    <s v="64c5dba7-3adc-40f7-a697-a1a9e0c6c340"/>
    <s v="Deanna Lucas"/>
    <d v="2000-03-06T00:00:00"/>
    <x v="1"/>
    <x v="26"/>
    <s v="Avoidance of Allergens"/>
    <s v="Advised to avoid known allergens."/>
    <d v="2023-03-07T00:00:00"/>
    <d v="2023-03-27T00:00:00"/>
    <n v="324.92"/>
    <n v="20"/>
    <x v="10"/>
    <x v="1"/>
    <n v="23"/>
  </r>
  <r>
    <s v="3b50c495-6d5d-43a9-a92f-28e7f3ca500e"/>
    <s v="Tiffany Gay"/>
    <d v="2009-01-27T00:00:00"/>
    <x v="0"/>
    <x v="27"/>
    <s v="Topical Antibiotics"/>
    <s v="Started on oral antibiotics for more severe infection."/>
    <d v="2023-04-23T00:00:00"/>
    <d v="2023-05-09T00:00:00"/>
    <n v="304.74"/>
    <n v="16"/>
    <x v="9"/>
    <x v="1"/>
    <n v="14"/>
  </r>
  <r>
    <s v="6b5f59c4-d449-46bc-8be9-ac4b069a5631"/>
    <s v="Gerald Garza"/>
    <d v="2008-02-28T00:00:00"/>
    <x v="0"/>
    <x v="26"/>
    <s v="Avoidance of Allergens"/>
    <s v="Advised to avoid known allergens."/>
    <d v="2023-11-12T00:00:00"/>
    <d v="2023-11-19T00:00:00"/>
    <n v="290.33"/>
    <n v="7"/>
    <x v="3"/>
    <x v="1"/>
    <n v="15"/>
  </r>
  <r>
    <s v="ed525e42-3641-4643-9f17-5e4262fd36ac"/>
    <s v="Brittany Montgomery"/>
    <d v="1997-01-28T00:00:00"/>
    <x v="1"/>
    <x v="27"/>
    <s v="Topical Antibiotics"/>
    <s v="Started on oral antibiotics for more severe infection."/>
    <d v="2023-11-07T00:00:00"/>
    <d v="2023-11-15T00:00:00"/>
    <n v="289.64"/>
    <n v="8"/>
    <x v="3"/>
    <x v="1"/>
    <n v="26"/>
  </r>
  <r>
    <s v="0defc61c-05ab-4779-ad88-37482ce2b0fa"/>
    <s v="Carrie Mcfarland"/>
    <d v="1945-02-24T00:00:00"/>
    <x v="0"/>
    <x v="28"/>
    <s v="Over-the-counter Medication"/>
    <s v="Recommended over-the-counter medication for symptom relief."/>
    <d v="2023-04-27T00:00:00"/>
    <d v="2023-05-10T00:00:00"/>
    <n v="285.76"/>
    <n v="13"/>
    <x v="9"/>
    <x v="1"/>
    <n v="78"/>
  </r>
  <r>
    <s v="ab183790-957e-44b7-b637-fda2756474ea"/>
    <s v="Joseph Melton"/>
    <d v="2002-11-26T00:00:00"/>
    <x v="1"/>
    <x v="27"/>
    <s v="Topical Antibiotics"/>
    <s v="Advised to keep affected area clean and dry."/>
    <d v="2021-11-27T00:00:00"/>
    <d v="2021-12-05T00:00:00"/>
    <n v="281.82"/>
    <n v="8"/>
    <x v="3"/>
    <x v="2"/>
    <n v="19"/>
  </r>
  <r>
    <s v="09e6222d-ac2d-4fd4-bba8-65ab9379878d"/>
    <s v="Steven Zhang Jr."/>
    <d v="1965-03-03T00:00:00"/>
    <x v="1"/>
    <x v="28"/>
    <s v="Rest"/>
    <s v="Symptoms should improve within a week."/>
    <d v="2022-04-16T00:00:00"/>
    <d v="2022-04-20T00:00:00"/>
    <n v="274.52999999999997"/>
    <n v="4"/>
    <x v="9"/>
    <x v="0"/>
    <n v="57"/>
  </r>
  <r>
    <s v="c5232c05-240f-4c69-8dda-8eb99f8a3f09"/>
    <s v="Robert Miller"/>
    <d v="1998-10-19T00:00:00"/>
    <x v="1"/>
    <x v="28"/>
    <s v="Over-the-counter Medication"/>
    <s v="Symptoms should improve within a week."/>
    <d v="2023-05-23T00:00:00"/>
    <d v="2023-06-10T00:00:00"/>
    <n v="274.45"/>
    <n v="18"/>
    <x v="5"/>
    <x v="1"/>
    <n v="24"/>
  </r>
  <r>
    <s v="e1772385-e6b8-45bd-970e-2de8fb98a1aa"/>
    <s v="Jonathan Bright"/>
    <d v="1968-05-22T00:00:00"/>
    <x v="1"/>
    <x v="28"/>
    <s v="Rest"/>
    <s v="Recommended over-the-counter medication for symptom relief."/>
    <d v="2022-03-31T00:00:00"/>
    <d v="2022-04-02T00:00:00"/>
    <n v="269.77"/>
    <n v="2"/>
    <x v="10"/>
    <x v="0"/>
    <n v="53"/>
  </r>
  <r>
    <s v="de62e840-df98-43cb-a538-1a7a99cad227"/>
    <s v="Elizabeth Sellers"/>
    <d v="1980-04-10T00:00:00"/>
    <x v="0"/>
    <x v="26"/>
    <s v="Avoidance of Allergens"/>
    <s v="Advised to avoid known allergens."/>
    <d v="2024-01-10T00:00:00"/>
    <d v="2024-01-23T00:00:00"/>
    <n v="264.87"/>
    <n v="13"/>
    <x v="1"/>
    <x v="3"/>
    <n v="43"/>
  </r>
  <r>
    <s v="06dd389c-c40a-4b94-9fa7-47abda754375"/>
    <s v="Margaret Mccullough"/>
    <d v="1991-06-06T00:00:00"/>
    <x v="1"/>
    <x v="27"/>
    <s v="Oral Antibiotics"/>
    <s v="Started on oral antibiotics for more severe infection."/>
    <d v="2023-11-16T00:00:00"/>
    <d v="2023-11-17T00:00:00"/>
    <n v="262.12"/>
    <n v="1"/>
    <x v="3"/>
    <x v="1"/>
    <n v="32"/>
  </r>
  <r>
    <s v="960ee74c-2d85-41cf-96b3-e0f65764623f"/>
    <s v="Latasha Tucker"/>
    <d v="1954-07-20T00:00:00"/>
    <x v="0"/>
    <x v="28"/>
    <s v="Rest"/>
    <s v="Symptoms should improve within a week."/>
    <d v="2022-09-16T00:00:00"/>
    <d v="2022-09-26T00:00:00"/>
    <n v="260.62"/>
    <n v="10"/>
    <x v="6"/>
    <x v="0"/>
    <n v="68"/>
  </r>
  <r>
    <s v="125f2ce1-a22d-4f1c-b4c5-8e9db3a9d10d"/>
    <s v="Susan Williams"/>
    <d v="1948-07-16T00:00:00"/>
    <x v="0"/>
    <x v="28"/>
    <s v="Hydration"/>
    <s v="Advised rest and increased fluid intake."/>
    <d v="2021-12-15T00:00:00"/>
    <d v="2022-01-06T00:00:00"/>
    <n v="259.89"/>
    <n v="22"/>
    <x v="0"/>
    <x v="2"/>
    <n v="73"/>
  </r>
  <r>
    <s v="e4aad7e6-19ff-438c-b3cf-c1655b3d9172"/>
    <s v="Ana Warren"/>
    <d v="1964-12-22T00:00:00"/>
    <x v="1"/>
    <x v="28"/>
    <s v="Over-the-counter Medication"/>
    <s v="Symptoms should improve within a week."/>
    <d v="2023-01-15T00:00:00"/>
    <d v="2023-01-30T00:00:00"/>
    <n v="258.75"/>
    <n v="15"/>
    <x v="1"/>
    <x v="1"/>
    <n v="58"/>
  </r>
  <r>
    <s v="2110a1fd-304b-421e-a58f-f86d7f8be1ee"/>
    <s v="Erica Harrell"/>
    <d v="1932-02-12T00:00:00"/>
    <x v="1"/>
    <x v="28"/>
    <s v="Rest"/>
    <s v="Symptoms should improve within a week."/>
    <d v="2022-07-23T00:00:00"/>
    <d v="2022-08-03T00:00:00"/>
    <n v="257.82"/>
    <n v="11"/>
    <x v="2"/>
    <x v="0"/>
    <n v="90"/>
  </r>
  <r>
    <s v="b0581529-bade-4359-af75-b83918c0012a"/>
    <s v="Natalie Smith"/>
    <d v="1988-10-19T00:00:00"/>
    <x v="1"/>
    <x v="26"/>
    <s v="Antihistamines"/>
    <s v="Discussed potential for allergy testing."/>
    <d v="2023-08-20T00:00:00"/>
    <d v="2023-09-08T00:00:00"/>
    <n v="256.97000000000003"/>
    <n v="19"/>
    <x v="7"/>
    <x v="1"/>
    <n v="34"/>
  </r>
  <r>
    <s v="5df78f7e-7609-4932-b7b5-5fc6fbc3f63d"/>
    <s v="Terry Woods"/>
    <d v="1962-10-17T00:00:00"/>
    <x v="1"/>
    <x v="27"/>
    <s v="Topical Antibiotics"/>
    <s v="Prescribed topical antibiotics for local infection."/>
    <d v="2023-11-26T00:00:00"/>
    <d v="2023-12-25T00:00:00"/>
    <n v="251.47"/>
    <n v="29"/>
    <x v="3"/>
    <x v="1"/>
    <n v="61"/>
  </r>
  <r>
    <s v="43ac0d28-5e32-4c60-acd2-c39f79e95ef9"/>
    <s v="William Bridges"/>
    <d v="1981-08-14T00:00:00"/>
    <x v="1"/>
    <x v="28"/>
    <s v="Hydration"/>
    <s v="Recommended over-the-counter medication for symptom relief."/>
    <d v="2022-08-24T00:00:00"/>
    <d v="2022-09-01T00:00:00"/>
    <n v="247.55"/>
    <n v="8"/>
    <x v="7"/>
    <x v="0"/>
    <n v="41"/>
  </r>
  <r>
    <s v="5ab9cf73-640f-4869-a181-8bf01b76d840"/>
    <s v="Robert Richards"/>
    <d v="2012-10-25T00:00:00"/>
    <x v="0"/>
    <x v="28"/>
    <s v="Over-the-counter Medication"/>
    <s v="Symptoms should improve within a week."/>
    <d v="2022-11-17T00:00:00"/>
    <d v="2022-12-09T00:00:00"/>
    <n v="224.97"/>
    <n v="22"/>
    <x v="3"/>
    <x v="0"/>
    <n v="10"/>
  </r>
  <r>
    <s v="bd647e2d-4d1f-4680-a567-c3ae8b162ae3"/>
    <s v="Victoria Reynolds"/>
    <d v="1987-12-04T00:00:00"/>
    <x v="1"/>
    <x v="28"/>
    <s v="Over-the-counter Medication"/>
    <s v="Advised rest and increased fluid intake."/>
    <d v="2023-09-08T00:00:00"/>
    <d v="2023-10-03T00:00:00"/>
    <n v="223.36"/>
    <n v="25"/>
    <x v="6"/>
    <x v="1"/>
    <n v="35"/>
  </r>
  <r>
    <s v="841391a1-a557-4f6f-a2e3-0446dbbb7c69"/>
    <s v="Craig Moreno"/>
    <d v="2010-01-15T00:00:00"/>
    <x v="1"/>
    <x v="27"/>
    <s v="Topical Antibiotics"/>
    <s v="Started on oral antibiotics for more severe infection."/>
    <d v="2022-01-13T00:00:00"/>
    <d v="2022-01-21T00:00:00"/>
    <n v="218.97"/>
    <n v="8"/>
    <x v="1"/>
    <x v="0"/>
    <n v="11"/>
  </r>
  <r>
    <s v="799beb9a-0080-4f61-be28-666581d03ae4"/>
    <s v="Jose Matthews"/>
    <d v="1958-01-19T00:00:00"/>
    <x v="1"/>
    <x v="28"/>
    <s v="Over-the-counter Medication"/>
    <s v="Recommended over-the-counter medication for symptom relief."/>
    <d v="2022-01-31T00:00:00"/>
    <d v="2022-02-28T00:00:00"/>
    <n v="203.08"/>
    <n v="28"/>
    <x v="1"/>
    <x v="0"/>
    <n v="64"/>
  </r>
  <r>
    <s v="11d966fb-23cc-463f-8304-d1099050eb64"/>
    <s v="Elizabeth Hughes"/>
    <d v="1977-09-24T00:00:00"/>
    <x v="0"/>
    <x v="28"/>
    <s v="Hydration"/>
    <s v="Recommended over-the-counter medication for symptom relief."/>
    <d v="2022-03-25T00:00:00"/>
    <d v="2022-04-07T00:00:00"/>
    <n v="198.28"/>
    <n v="13"/>
    <x v="10"/>
    <x v="0"/>
    <n v="44"/>
  </r>
  <r>
    <s v="a243a3e3-b6e4-480d-94be-d387d70287f4"/>
    <s v="Eric Spencer"/>
    <d v="1981-11-05T00:00:00"/>
    <x v="0"/>
    <x v="28"/>
    <s v="Rest"/>
    <s v="Symptoms should improve within a week."/>
    <d v="2021-08-12T00:00:00"/>
    <d v="2021-09-02T00:00:00"/>
    <n v="190.58"/>
    <n v="21"/>
    <x v="7"/>
    <x v="2"/>
    <n v="39"/>
  </r>
  <r>
    <s v="02c0867f-f4d9-4523-a599-3986da459865"/>
    <s v="Kristy Briggs"/>
    <d v="2017-06-03T00:00:00"/>
    <x v="1"/>
    <x v="28"/>
    <s v="Over-the-counter Medication"/>
    <s v="Advised rest and increased fluid intake."/>
    <d v="2023-03-09T00:00:00"/>
    <d v="2023-03-28T00:00:00"/>
    <n v="177.52"/>
    <n v="19"/>
    <x v="10"/>
    <x v="1"/>
    <n v="5"/>
  </r>
  <r>
    <s v="66d93f7f-6678-4048-a338-0058f180881b"/>
    <s v="Natalie Perez"/>
    <d v="1964-06-16T00:00:00"/>
    <x v="1"/>
    <x v="28"/>
    <s v="Over-the-counter Medication"/>
    <s v="Symptoms should improve within a week."/>
    <d v="2023-07-27T00:00:00"/>
    <d v="2023-08-26T00:00:00"/>
    <n v="171.46"/>
    <n v="30"/>
    <x v="2"/>
    <x v="1"/>
    <n v="59"/>
  </r>
  <r>
    <s v="c02f02e5-186e-4a69-8aff-045465572057"/>
    <s v="Michael Robles"/>
    <d v="1978-06-29T00:00:00"/>
    <x v="0"/>
    <x v="28"/>
    <s v="Over-the-counter Medication"/>
    <s v="Symptoms should improve within a week."/>
    <d v="2024-02-01T00:00:00"/>
    <d v="2024-02-02T00:00:00"/>
    <n v="168.97"/>
    <n v="1"/>
    <x v="11"/>
    <x v="3"/>
    <n v="45"/>
  </r>
  <r>
    <s v="5f7a538d-9a5c-4754-a399-da75553cdbc1"/>
    <s v="Katie Mcdowell"/>
    <d v="2012-09-03T00:00:00"/>
    <x v="0"/>
    <x v="28"/>
    <s v="Rest"/>
    <s v="Advised rest and increased fluid intake."/>
    <d v="2022-08-18T00:00:00"/>
    <d v="2022-09-17T00:00:00"/>
    <n v="167.73"/>
    <n v="30"/>
    <x v="7"/>
    <x v="0"/>
    <n v="9"/>
  </r>
  <r>
    <s v="4a10abc0-40da-4170-bd0f-706dbee9efb7"/>
    <s v="Wanda Zimmerman"/>
    <d v="1965-02-25T00:00:00"/>
    <x v="1"/>
    <x v="28"/>
    <s v="Over-the-counter Medication"/>
    <s v="Symptoms should improve within a week."/>
    <d v="2023-08-03T00:00:00"/>
    <d v="2023-08-23T00:00:00"/>
    <n v="142.33000000000001"/>
    <n v="20"/>
    <x v="7"/>
    <x v="1"/>
    <n v="58"/>
  </r>
  <r>
    <s v="b6988bbe-0364-442a-8a0d-6ab3ca7a8cc2"/>
    <s v="Molly Conley"/>
    <d v="1931-02-08T00:00:00"/>
    <x v="1"/>
    <x v="28"/>
    <s v="Over-the-counter Medication"/>
    <s v="Recommended over-the-counter medication for symptom relief."/>
    <d v="2022-08-19T00:00:00"/>
    <d v="2022-09-08T00:00:00"/>
    <n v="128.82"/>
    <n v="20"/>
    <x v="7"/>
    <x v="0"/>
    <n v="91"/>
  </r>
  <r>
    <s v="5f81a9da-4d05-4fdd-a9a5-5e212736df96"/>
    <s v="Robert Gutierrez"/>
    <d v="2010-09-13T00:00:00"/>
    <x v="1"/>
    <x v="28"/>
    <s v="Hydration"/>
    <s v="Symptoms should improve within a week."/>
    <d v="2022-07-15T00:00:00"/>
    <d v="2022-08-07T00:00:00"/>
    <n v="120.51"/>
    <n v="23"/>
    <x v="2"/>
    <x v="0"/>
    <n v="11"/>
  </r>
  <r>
    <s v="7e78fa36-abc1-4773-b5e1-1ab48b4a88f1"/>
    <s v="John Evans"/>
    <d v="1981-04-07T00:00:00"/>
    <x v="1"/>
    <x v="28"/>
    <s v="Rest"/>
    <s v="Advised rest and increased fluid intake."/>
    <d v="2023-10-14T00:00:00"/>
    <d v="2023-10-15T00:00:00"/>
    <n v="119.4"/>
    <n v="1"/>
    <x v="8"/>
    <x v="1"/>
    <n v="42"/>
  </r>
  <r>
    <s v="48b2fcd4-d020-457c-97fe-cca0f5d849e4"/>
    <s v="Janice Rivera"/>
    <d v="2022-03-06T00:00:00"/>
    <x v="1"/>
    <x v="28"/>
    <s v="Hydration"/>
    <s v="Symptoms should improve within a week."/>
    <d v="2022-12-08T00:00:00"/>
    <d v="2023-01-01T00:00:00"/>
    <n v="102.55"/>
    <n v="24"/>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7F9C99-7746-4D99-842E-B8A02B403534}" name="PivotTable6" cacheId="5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4">
  <location ref="S1:V9" firstHeaderRow="1" firstDataRow="2" firstDataCol="1"/>
  <pivotFields count="14">
    <pivotField dataField="1" compact="0" outline="0" showAll="0" includeNewItemsInFilter="1"/>
    <pivotField compact="0" outline="0" showAll="0"/>
    <pivotField compact="0" numFmtId="14" outline="0" showAll="0"/>
    <pivotField axis="axisCol" compact="0" outline="0" showAll="0">
      <items count="3">
        <item x="0"/>
        <item x="1"/>
        <item t="default"/>
      </items>
    </pivotField>
    <pivotField axis="axisRow" compact="0" outline="0" showAll="0" measureFilter="1" sortType="descending">
      <items count="30">
        <item x="26"/>
        <item x="6"/>
        <item x="15"/>
        <item x="12"/>
        <item x="17"/>
        <item x="24"/>
        <item x="20"/>
        <item x="0"/>
        <item x="28"/>
        <item x="7"/>
        <item x="3"/>
        <item x="16"/>
        <item x="13"/>
        <item x="10"/>
        <item x="11"/>
        <item x="25"/>
        <item x="2"/>
        <item x="14"/>
        <item x="18"/>
        <item x="1"/>
        <item x="23"/>
        <item x="5"/>
        <item x="9"/>
        <item x="8"/>
        <item x="19"/>
        <item x="27"/>
        <item x="21"/>
        <item x="4"/>
        <item x="2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pivotField compact="0" numFmtId="14" outline="0" showAll="0"/>
    <pivotField compact="0" numFmtId="164" outline="0" showAll="0"/>
    <pivotField compact="0" numFmtId="1" outline="0" showAll="0"/>
    <pivotField compact="0" outline="0" showAll="0"/>
    <pivotField compact="0" outline="0" showAll="0">
      <items count="5">
        <item h="1" x="2"/>
        <item h="1" x="0"/>
        <item x="1"/>
        <item h="1" x="3"/>
        <item t="default"/>
      </items>
    </pivotField>
    <pivotField compact="0" outline="0" showAll="0"/>
  </pivotFields>
  <rowFields count="1">
    <field x="4"/>
  </rowFields>
  <rowItems count="7">
    <i>
      <x v="25"/>
    </i>
    <i>
      <x v="23"/>
    </i>
    <i>
      <x v="18"/>
    </i>
    <i>
      <x v="11"/>
    </i>
    <i>
      <x v="8"/>
    </i>
    <i>
      <x v="5"/>
    </i>
    <i>
      <x v="20"/>
    </i>
  </rowItems>
  <colFields count="1">
    <field x="3"/>
  </colFields>
  <colItems count="3">
    <i>
      <x/>
    </i>
    <i>
      <x v="1"/>
    </i>
    <i t="grand">
      <x/>
    </i>
  </colItems>
  <dataFields count="1">
    <dataField name="Count of Patient ID" fld="0" subtotal="count" baseField="0" baseItem="0"/>
  </dataFields>
  <chartFormats count="2">
    <chartFormat chart="41" format="4" series="1">
      <pivotArea type="data" outline="0" fieldPosition="0">
        <references count="2">
          <reference field="4294967294" count="1" selected="0">
            <x v="0"/>
          </reference>
          <reference field="3" count="1" selected="0">
            <x v="0"/>
          </reference>
        </references>
      </pivotArea>
    </chartFormat>
    <chartFormat chart="4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03F555-541C-4B4D-953F-9794594BDEC8}" name="PivotTable5" cacheId="5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4">
  <location ref="J1:K3" firstHeaderRow="1" firstDataRow="1" firstDataCol="1"/>
  <pivotFields count="14">
    <pivotField dataField="1" compact="0" outline="0" showAll="0" includeNewItemsInFilter="1"/>
    <pivotField compact="0" outline="0" showAll="0"/>
    <pivotField compact="0" numFmtId="14" outline="0" showAll="0"/>
    <pivotField axis="axisRow" compact="0" outline="0" showAll="0">
      <items count="3">
        <item x="0"/>
        <item x="1"/>
        <item t="default"/>
      </items>
    </pivotField>
    <pivotField compact="0" outline="0" showAll="0"/>
    <pivotField compact="0" outline="0" showAll="0"/>
    <pivotField compact="0" outline="0" showAll="0"/>
    <pivotField compact="0" numFmtId="14" outline="0" showAll="0"/>
    <pivotField compact="0" numFmtId="14" outline="0" showAll="0"/>
    <pivotField compact="0" numFmtId="164" outline="0" showAll="0"/>
    <pivotField compact="0" numFmtId="1" outline="0" showAll="0"/>
    <pivotField compact="0" outline="0" showAll="0"/>
    <pivotField compact="0" outline="0" showAll="0">
      <items count="5">
        <item h="1" x="2"/>
        <item h="1" x="0"/>
        <item x="1"/>
        <item h="1" x="3"/>
        <item t="default"/>
      </items>
    </pivotField>
    <pivotField compact="0" outline="0" showAll="0"/>
  </pivotFields>
  <rowFields count="1">
    <field x="3"/>
  </rowFields>
  <rowItems count="2">
    <i>
      <x/>
    </i>
    <i>
      <x v="1"/>
    </i>
  </rowItems>
  <colItems count="1">
    <i/>
  </colItems>
  <dataFields count="1">
    <dataField name="Count of Patient ID" fld="0" subtotal="count" baseField="0" baseItem="0"/>
  </dataFields>
  <chartFormats count="1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3" count="1" selected="0">
            <x v="0"/>
          </reference>
        </references>
      </pivotArea>
    </chartFormat>
    <chartFormat chart="12" format="6">
      <pivotArea type="data" outline="0" fieldPosition="0">
        <references count="2">
          <reference field="4294967294" count="1" selected="0">
            <x v="0"/>
          </reference>
          <reference field="3"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F48E52-390F-440E-ACD6-AFCFA892C582}" name="KPI_Revenue" cacheId="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1:O2" firstHeaderRow="1" firstDataRow="1" firstDataCol="0"/>
  <pivotFields count="14">
    <pivotField showAll="0"/>
    <pivotField showAll="0"/>
    <pivotField numFmtId="14" showAll="0"/>
    <pivotField showAll="0">
      <items count="3">
        <item x="0"/>
        <item x="1"/>
        <item t="default"/>
      </items>
    </pivotField>
    <pivotField showAll="0"/>
    <pivotField showAll="0"/>
    <pivotField showAll="0"/>
    <pivotField numFmtId="14" showAll="0"/>
    <pivotField numFmtId="14" showAll="0"/>
    <pivotField dataField="1" numFmtId="164" showAll="0"/>
    <pivotField numFmtId="1" showAll="0"/>
    <pivotField showAll="0"/>
    <pivotField showAll="0">
      <items count="5">
        <item h="1" x="2"/>
        <item h="1" x="0"/>
        <item x="1"/>
        <item h="1" x="3"/>
        <item t="default"/>
      </items>
    </pivotField>
    <pivotField showAll="0"/>
  </pivotFields>
  <rowItems count="1">
    <i/>
  </rowItems>
  <colItems count="1">
    <i/>
  </colItems>
  <dataFields count="1">
    <dataField name="Sum of Bill Amount" fld="9" baseField="0" baseItem="0" numFmtId="165"/>
  </dataFields>
  <formats count="2">
    <format dxfId="48">
      <pivotArea dataOnly="0" labelOnly="1" outline="0" axis="axisValues"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8B9086-EBFF-4791-A9F2-78B433021EB8}" name="PivotTable3" cacheId="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1:E7" firstHeaderRow="1" firstDataRow="1" firstDataCol="1"/>
  <pivotFields count="14">
    <pivotField compact="0" outline="0" showAll="0" includeNewItemsInFilter="1"/>
    <pivotField compact="0" outline="0" showAll="0"/>
    <pivotField compact="0" numFmtId="14" outline="0" showAll="0"/>
    <pivotField compact="0" outline="0" showAll="0">
      <items count="3">
        <item x="0"/>
        <item x="1"/>
        <item t="default"/>
      </items>
    </pivotField>
    <pivotField axis="axisRow" compact="0" outline="0" showAll="0" measureFilter="1" sortType="descending">
      <items count="30">
        <item x="26"/>
        <item x="6"/>
        <item x="15"/>
        <item x="12"/>
        <item x="17"/>
        <item x="24"/>
        <item x="20"/>
        <item x="0"/>
        <item x="28"/>
        <item x="7"/>
        <item x="3"/>
        <item x="16"/>
        <item x="13"/>
        <item x="10"/>
        <item x="11"/>
        <item x="25"/>
        <item x="2"/>
        <item x="14"/>
        <item x="18"/>
        <item x="1"/>
        <item x="23"/>
        <item x="5"/>
        <item x="9"/>
        <item x="8"/>
        <item x="19"/>
        <item x="27"/>
        <item x="21"/>
        <item x="4"/>
        <item x="2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pivotField compact="0" numFmtId="14" outline="0" showAll="0"/>
    <pivotField dataField="1" compact="0" numFmtId="164" outline="0" showAll="0"/>
    <pivotField compact="0" numFmtId="1" outline="0" showAll="0"/>
    <pivotField compact="0" outline="0" showAll="0"/>
    <pivotField compact="0" outline="0" showAll="0">
      <items count="5">
        <item h="1" x="2"/>
        <item h="1" x="0"/>
        <item x="1"/>
        <item h="1" x="3"/>
        <item t="default"/>
      </items>
    </pivotField>
    <pivotField compact="0" outline="0" showAll="0"/>
  </pivotFields>
  <rowFields count="1">
    <field x="4"/>
  </rowFields>
  <rowItems count="6">
    <i>
      <x v="7"/>
    </i>
    <i>
      <x v="16"/>
    </i>
    <i>
      <x v="10"/>
    </i>
    <i>
      <x v="19"/>
    </i>
    <i>
      <x v="23"/>
    </i>
    <i t="grand">
      <x/>
    </i>
  </rowItems>
  <colItems count="1">
    <i/>
  </colItems>
  <dataFields count="1">
    <dataField name="Sum of Bill Amount" fld="9" baseField="0" baseItem="0" numFmtId="164"/>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89BA5-1843-4494-A90C-F08AE2CE565B}" name="PivotTable4" cacheId="5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8">
  <location ref="G1:H13" firstHeaderRow="1" firstDataRow="1" firstDataCol="1"/>
  <pivotFields count="14">
    <pivotField dataField="1" compact="0" outline="0" showAll="0" includeNewItemsInFilter="1"/>
    <pivotField compact="0" outline="0" showAll="0"/>
    <pivotField compact="0" numFmtId="14" outline="0" showAll="0"/>
    <pivotField compact="0" outline="0" showAll="0">
      <items count="3">
        <item x="0"/>
        <item x="1"/>
        <item t="default"/>
      </items>
    </pivotField>
    <pivotField compact="0" outline="0" showAll="0"/>
    <pivotField compact="0" outline="0" showAll="0"/>
    <pivotField compact="0" outline="0" showAll="0"/>
    <pivotField compact="0" numFmtId="14" outline="0" showAll="0"/>
    <pivotField compact="0" numFmtId="14" outline="0" showAll="0"/>
    <pivotField compact="0" numFmtId="164" outline="0" showAll="0"/>
    <pivotField compact="0" numFmtId="1" outline="0" showAll="0"/>
    <pivotField axis="axisRow" compact="0" outline="0" showAll="0">
      <items count="13">
        <item x="1"/>
        <item x="11"/>
        <item x="10"/>
        <item x="9"/>
        <item x="5"/>
        <item x="4"/>
        <item x="2"/>
        <item x="7"/>
        <item x="6"/>
        <item x="8"/>
        <item x="3"/>
        <item x="0"/>
        <item t="default"/>
      </items>
    </pivotField>
    <pivotField compact="0" outline="0" showAll="0">
      <items count="5">
        <item h="1" x="2"/>
        <item h="1" x="0"/>
        <item x="1"/>
        <item h="1" x="3"/>
        <item t="default"/>
      </items>
    </pivotField>
    <pivotField compact="0" outline="0" showAll="0"/>
  </pivotFields>
  <rowFields count="1">
    <field x="11"/>
  </rowFields>
  <rowItems count="12">
    <i>
      <x/>
    </i>
    <i>
      <x v="1"/>
    </i>
    <i>
      <x v="2"/>
    </i>
    <i>
      <x v="3"/>
    </i>
    <i>
      <x v="4"/>
    </i>
    <i>
      <x v="5"/>
    </i>
    <i>
      <x v="6"/>
    </i>
    <i>
      <x v="7"/>
    </i>
    <i>
      <x v="8"/>
    </i>
    <i>
      <x v="9"/>
    </i>
    <i>
      <x v="10"/>
    </i>
    <i>
      <x v="11"/>
    </i>
  </rowItems>
  <colItems count="1">
    <i/>
  </colItems>
  <dataFields count="1">
    <dataField name="Count of Patient ID" fld="0" subtotal="count" baseField="0" baseItem="0"/>
  </dataFields>
  <chartFormats count="15">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1" count="1" selected="0">
            <x v="2"/>
          </reference>
        </references>
      </pivotArea>
    </chartFormat>
    <chartFormat chart="9" format="6">
      <pivotArea type="data" outline="0" fieldPosition="0">
        <references count="2">
          <reference field="4294967294" count="1" selected="0">
            <x v="0"/>
          </reference>
          <reference field="11" count="1" selected="0">
            <x v="1"/>
          </reference>
        </references>
      </pivotArea>
    </chartFormat>
    <chartFormat chart="9" format="7">
      <pivotArea type="data" outline="0" fieldPosition="0">
        <references count="2">
          <reference field="4294967294" count="1" selected="0">
            <x v="0"/>
          </reference>
          <reference field="11" count="1" selected="0">
            <x v="3"/>
          </reference>
        </references>
      </pivotArea>
    </chartFormat>
    <chartFormat chart="9" format="8">
      <pivotArea type="data" outline="0" fieldPosition="0">
        <references count="2">
          <reference field="4294967294" count="1" selected="0">
            <x v="0"/>
          </reference>
          <reference field="11" count="1" selected="0">
            <x v="4"/>
          </reference>
        </references>
      </pivotArea>
    </chartFormat>
    <chartFormat chart="9" format="9">
      <pivotArea type="data" outline="0" fieldPosition="0">
        <references count="2">
          <reference field="4294967294" count="1" selected="0">
            <x v="0"/>
          </reference>
          <reference field="11" count="1" selected="0">
            <x v="5"/>
          </reference>
        </references>
      </pivotArea>
    </chartFormat>
    <chartFormat chart="9" format="10">
      <pivotArea type="data" outline="0" fieldPosition="0">
        <references count="2">
          <reference field="4294967294" count="1" selected="0">
            <x v="0"/>
          </reference>
          <reference field="11" count="1" selected="0">
            <x v="6"/>
          </reference>
        </references>
      </pivotArea>
    </chartFormat>
    <chartFormat chart="9" format="11">
      <pivotArea type="data" outline="0" fieldPosition="0">
        <references count="2">
          <reference field="4294967294" count="1" selected="0">
            <x v="0"/>
          </reference>
          <reference field="11" count="1" selected="0">
            <x v="7"/>
          </reference>
        </references>
      </pivotArea>
    </chartFormat>
    <chartFormat chart="9" format="12">
      <pivotArea type="data" outline="0" fieldPosition="0">
        <references count="2">
          <reference field="4294967294" count="1" selected="0">
            <x v="0"/>
          </reference>
          <reference field="11" count="1" selected="0">
            <x v="8"/>
          </reference>
        </references>
      </pivotArea>
    </chartFormat>
    <chartFormat chart="9" format="13">
      <pivotArea type="data" outline="0" fieldPosition="0">
        <references count="2">
          <reference field="4294967294" count="1" selected="0">
            <x v="0"/>
          </reference>
          <reference field="11" count="1" selected="0">
            <x v="9"/>
          </reference>
        </references>
      </pivotArea>
    </chartFormat>
    <chartFormat chart="9" format="14">
      <pivotArea type="data" outline="0" fieldPosition="0">
        <references count="2">
          <reference field="4294967294" count="1" selected="0">
            <x v="0"/>
          </reference>
          <reference field="11" count="1" selected="0">
            <x v="10"/>
          </reference>
        </references>
      </pivotArea>
    </chartFormat>
    <chartFormat chart="9" format="15">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BAD0A-72B2-47B4-BF07-687E6AFBFB33}" name="PivotTable1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pivotFields count="14">
    <pivotField showAll="0"/>
    <pivotField showAll="0"/>
    <pivotField numFmtId="14" showAll="0"/>
    <pivotField showAll="0">
      <items count="3">
        <item x="0"/>
        <item x="1"/>
        <item t="default"/>
      </items>
    </pivotField>
    <pivotField showAll="0"/>
    <pivotField showAll="0"/>
    <pivotField showAll="0"/>
    <pivotField numFmtId="14" showAll="0"/>
    <pivotField numFmtId="14" showAll="0"/>
    <pivotField numFmtId="164" showAll="0"/>
    <pivotField dataField="1" numFmtId="1" showAll="0"/>
    <pivotField showAll="0"/>
    <pivotField showAll="0">
      <items count="5">
        <item h="1" x="2"/>
        <item h="1" x="0"/>
        <item x="1"/>
        <item h="1" x="3"/>
        <item t="default"/>
      </items>
    </pivotField>
    <pivotField showAll="0"/>
  </pivotFields>
  <rowItems count="1">
    <i/>
  </rowItems>
  <colItems count="1">
    <i/>
  </colItems>
  <dataFields count="1">
    <dataField name="Average of Length of Stay"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6AA602-F8CD-4B8C-91F5-B31AC0B62A60}" name="PivotTable1" cacheId="5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2">
  <location ref="A1:B6" firstHeaderRow="1" firstDataRow="1" firstDataCol="1"/>
  <pivotFields count="14">
    <pivotField compact="0" outline="0" showAll="0" includeNewItemsInFilter="1"/>
    <pivotField compact="0" outline="0" showAll="0"/>
    <pivotField compact="0" numFmtId="14" outline="0" showAll="0"/>
    <pivotField compact="0" outline="0" showAll="0">
      <items count="3">
        <item x="0"/>
        <item x="1"/>
        <item t="default"/>
      </items>
    </pivotField>
    <pivotField axis="axisRow" compact="0" outline="0" showAll="0" measureFilter="1" sortType="descending">
      <items count="30">
        <item x="26"/>
        <item x="6"/>
        <item x="15"/>
        <item x="12"/>
        <item x="17"/>
        <item x="24"/>
        <item x="20"/>
        <item x="0"/>
        <item x="28"/>
        <item x="7"/>
        <item x="3"/>
        <item x="16"/>
        <item x="13"/>
        <item x="10"/>
        <item x="11"/>
        <item x="25"/>
        <item x="2"/>
        <item x="14"/>
        <item x="18"/>
        <item x="1"/>
        <item x="23"/>
        <item x="5"/>
        <item x="9"/>
        <item x="8"/>
        <item x="19"/>
        <item x="27"/>
        <item x="21"/>
        <item x="4"/>
        <item x="2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pivotField compact="0" numFmtId="14" outline="0" showAll="0"/>
    <pivotField compact="0" numFmtId="164" outline="0" showAll="0"/>
    <pivotField dataField="1" compact="0" numFmtId="1" outline="0" showAll="0"/>
    <pivotField compact="0" outline="0" showAll="0"/>
    <pivotField compact="0" outline="0" showAll="0">
      <items count="5">
        <item h="1" x="2"/>
        <item h="1" x="0"/>
        <item x="1"/>
        <item h="1" x="3"/>
        <item t="default"/>
      </items>
    </pivotField>
    <pivotField compact="0" outline="0" showAll="0"/>
  </pivotFields>
  <rowFields count="1">
    <field x="4"/>
  </rowFields>
  <rowItems count="5">
    <i>
      <x v="1"/>
    </i>
    <i>
      <x v="4"/>
    </i>
    <i>
      <x v="19"/>
    </i>
    <i>
      <x v="11"/>
    </i>
    <i>
      <x v="17"/>
    </i>
  </rowItems>
  <colItems count="1">
    <i/>
  </colItems>
  <dataFields count="1">
    <dataField name="Average of Stay" fld="10" subtotal="average" baseField="0" baseItem="0" numFmtId="1"/>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A92AD8-7985-4AD8-AC07-4E6794B62DD9}" name="PivotTable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2" firstHeaderRow="1" firstDataRow="1" firstDataCol="0"/>
  <pivotFields count="14">
    <pivotField dataField="1" showAll="0"/>
    <pivotField showAll="0"/>
    <pivotField numFmtId="14" showAll="0"/>
    <pivotField showAll="0">
      <items count="3">
        <item x="0"/>
        <item x="1"/>
        <item t="default"/>
      </items>
    </pivotField>
    <pivotField showAll="0"/>
    <pivotField showAll="0"/>
    <pivotField showAll="0"/>
    <pivotField numFmtId="14" showAll="0"/>
    <pivotField numFmtId="14" showAll="0"/>
    <pivotField numFmtId="164" showAll="0"/>
    <pivotField numFmtId="1" showAll="0"/>
    <pivotField showAll="0"/>
    <pivotField showAll="0">
      <items count="5">
        <item h="1" x="2"/>
        <item h="1" x="0"/>
        <item x="1"/>
        <item h="1" x="3"/>
        <item t="default"/>
      </items>
    </pivotField>
    <pivotField showAll="0"/>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78564A-5728-4CCA-A6CB-09D0FF08C07A}" sourceName="Gender">
  <pivotTables>
    <pivotTable tabId="2" name="PivotTable3"/>
    <pivotTable tabId="2" name="PivotTable1"/>
    <pivotTable tabId="2" name="PivotTable4"/>
    <pivotTable tabId="2" name="PivotTable5"/>
    <pivotTable tabId="2" name="KPI_Revenue"/>
    <pivotTable tabId="2" name="PivotTable15"/>
    <pivotTable tabId="2" name="PivotTable8"/>
    <pivotTable tabId="2" name="PivotTable6"/>
  </pivotTables>
  <data>
    <tabular pivotCacheId="21296035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8D4D5BF-10D4-4E3A-8B74-64098A65A457}" sourceName="Year">
  <pivotTables>
    <pivotTable tabId="2" name="PivotTable1"/>
    <pivotTable tabId="2" name="PivotTable3"/>
    <pivotTable tabId="2" name="PivotTable4"/>
    <pivotTable tabId="2" name="PivotTable5"/>
    <pivotTable tabId="2" name="PivotTable8"/>
    <pivotTable tabId="2" name="KPI_Revenue"/>
    <pivotTable tabId="2" name="PivotTable15"/>
    <pivotTable tabId="2" name="PivotTable6"/>
  </pivotTables>
  <data>
    <tabular pivotCacheId="2129603583">
      <items count="4">
        <i x="2"/>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471EBB6-AB57-4D7C-8EE9-733E30CC96A4}" cache="Slicer_Gender" caption="Gender" rowHeight="450000"/>
  <slicer name="Year" xr10:uid="{FE2B15CB-9650-4AA5-9DFB-ACFE327225CE}" cache="Slicer_Year" caption="Year" rowHeight="45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435A3863-CC5D-431A-B2F5-4ED953832EFB}">
  <we:reference id="WA200005502" version="1.0.0.13" store="en-us" storeType="omex"/>
  <we:alternateReferences>
    <we:reference id="WA200005502" version="1.0.0.13" store="en-us" storeType="omex"/>
  </we:alternateReferences>
  <we:properties>
    <we:property name="docId" value="&quot;Y84o-oegME7yukRiu95N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5500AA6-665C-44BF-9A87-7523A7D4FAF1}">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99189F4F-2065-4878-BF87-4C37B15EB639}">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DD41-A281-4C20-B55F-A69108605431}">
  <sheetPr codeName="Sheet1"/>
  <dimension ref="A1:N987"/>
  <sheetViews>
    <sheetView topLeftCell="B920" workbookViewId="0">
      <selection activeCell="E156" sqref="E156"/>
    </sheetView>
  </sheetViews>
  <sheetFormatPr defaultRowHeight="14.4" x14ac:dyDescent="0.3"/>
  <cols>
    <col min="1" max="1" width="38" customWidth="1"/>
    <col min="2" max="2" width="20.88671875" customWidth="1"/>
    <col min="3" max="3" width="15.88671875" style="1" customWidth="1"/>
    <col min="4" max="4" width="10" customWidth="1"/>
    <col min="5" max="5" width="36.5546875" customWidth="1"/>
    <col min="6" max="6" width="27" customWidth="1"/>
    <col min="7" max="7" width="57" customWidth="1"/>
    <col min="8" max="8" width="16.5546875" style="1" customWidth="1"/>
    <col min="9" max="9" width="15.109375" style="1" customWidth="1"/>
    <col min="10" max="10" width="13.5546875" style="3" customWidth="1"/>
    <col min="11" max="11" width="15" style="4" customWidth="1"/>
  </cols>
  <sheetData>
    <row r="1" spans="1:14" x14ac:dyDescent="0.3">
      <c r="A1" t="s">
        <v>0</v>
      </c>
      <c r="B1" t="s">
        <v>1</v>
      </c>
      <c r="C1" s="1" t="s">
        <v>2</v>
      </c>
      <c r="D1" t="s">
        <v>3</v>
      </c>
      <c r="E1" t="s">
        <v>2139</v>
      </c>
      <c r="F1" t="s">
        <v>4</v>
      </c>
      <c r="G1" t="s">
        <v>5</v>
      </c>
      <c r="H1" s="1" t="s">
        <v>6</v>
      </c>
      <c r="I1" s="1" t="s">
        <v>7</v>
      </c>
      <c r="J1" s="3" t="s">
        <v>8</v>
      </c>
      <c r="K1" s="4" t="s">
        <v>9</v>
      </c>
      <c r="L1" t="s">
        <v>10</v>
      </c>
      <c r="M1" t="s">
        <v>11</v>
      </c>
      <c r="N1" t="s">
        <v>12</v>
      </c>
    </row>
    <row r="2" spans="1:14" x14ac:dyDescent="0.3">
      <c r="A2" t="s">
        <v>13</v>
      </c>
      <c r="B2" t="s">
        <v>14</v>
      </c>
      <c r="C2" s="1">
        <v>8878</v>
      </c>
      <c r="D2" t="s">
        <v>15</v>
      </c>
      <c r="E2" t="s">
        <v>16</v>
      </c>
      <c r="F2" t="s">
        <v>17</v>
      </c>
      <c r="G2" t="s">
        <v>18</v>
      </c>
      <c r="H2" s="1">
        <v>44907</v>
      </c>
      <c r="I2" s="1">
        <v>44934</v>
      </c>
      <c r="J2" s="3">
        <v>99769.22</v>
      </c>
      <c r="K2" s="4">
        <f xml:space="preserve"> I2-H2</f>
        <v>27</v>
      </c>
      <c r="L2" t="str">
        <f>TEXT(H2,"mmm")</f>
        <v>Dec</v>
      </c>
      <c r="M2">
        <f>YEAR(H2)</f>
        <v>2022</v>
      </c>
      <c r="N2">
        <f>DATEDIF(C2, H2, "Y")</f>
        <v>98</v>
      </c>
    </row>
    <row r="3" spans="1:14" x14ac:dyDescent="0.3">
      <c r="A3" t="s">
        <v>19</v>
      </c>
      <c r="B3" t="s">
        <v>20</v>
      </c>
      <c r="C3" s="1">
        <v>14924</v>
      </c>
      <c r="D3" t="s">
        <v>21</v>
      </c>
      <c r="E3" t="s">
        <v>16</v>
      </c>
      <c r="F3" t="s">
        <v>22</v>
      </c>
      <c r="G3" t="s">
        <v>18</v>
      </c>
      <c r="H3" s="1">
        <v>44932</v>
      </c>
      <c r="I3" s="1">
        <v>44934</v>
      </c>
      <c r="J3" s="3">
        <v>98557.17</v>
      </c>
      <c r="K3" s="4">
        <f t="shared" ref="K3:K66" si="0" xml:space="preserve"> I3-H3</f>
        <v>2</v>
      </c>
      <c r="L3" t="str">
        <f t="shared" ref="L3:L66" si="1">TEXT(H3,"mmm")</f>
        <v>Jan</v>
      </c>
      <c r="M3">
        <f t="shared" ref="M3:M66" si="2">YEAR(H3)</f>
        <v>2023</v>
      </c>
      <c r="N3">
        <f t="shared" ref="N3:N66" si="3">DATEDIF(C3, H3, "Y")</f>
        <v>82</v>
      </c>
    </row>
    <row r="4" spans="1:14" x14ac:dyDescent="0.3">
      <c r="A4" t="s">
        <v>23</v>
      </c>
      <c r="B4" t="s">
        <v>24</v>
      </c>
      <c r="C4" s="1">
        <v>26859</v>
      </c>
      <c r="D4" t="s">
        <v>21</v>
      </c>
      <c r="E4" t="s">
        <v>16</v>
      </c>
      <c r="F4" t="s">
        <v>25</v>
      </c>
      <c r="G4" t="s">
        <v>26</v>
      </c>
      <c r="H4" s="1">
        <v>44748</v>
      </c>
      <c r="I4" s="1">
        <v>44757</v>
      </c>
      <c r="J4" s="3">
        <v>96312.07</v>
      </c>
      <c r="K4" s="4">
        <f t="shared" si="0"/>
        <v>9</v>
      </c>
      <c r="L4" t="str">
        <f t="shared" si="1"/>
        <v>Jul</v>
      </c>
      <c r="M4">
        <f t="shared" si="2"/>
        <v>2022</v>
      </c>
      <c r="N4">
        <f t="shared" si="3"/>
        <v>48</v>
      </c>
    </row>
    <row r="5" spans="1:14" x14ac:dyDescent="0.3">
      <c r="A5" t="s">
        <v>27</v>
      </c>
      <c r="B5" t="s">
        <v>28</v>
      </c>
      <c r="C5" s="1">
        <v>29525</v>
      </c>
      <c r="D5" t="s">
        <v>15</v>
      </c>
      <c r="E5" t="s">
        <v>16</v>
      </c>
      <c r="F5" t="s">
        <v>17</v>
      </c>
      <c r="G5" t="s">
        <v>26</v>
      </c>
      <c r="H5" s="1">
        <v>44868</v>
      </c>
      <c r="I5" s="1">
        <v>44879</v>
      </c>
      <c r="J5" s="3">
        <v>91683.71</v>
      </c>
      <c r="K5" s="4">
        <f t="shared" si="0"/>
        <v>11</v>
      </c>
      <c r="L5" t="str">
        <f t="shared" si="1"/>
        <v>Nov</v>
      </c>
      <c r="M5">
        <f t="shared" si="2"/>
        <v>2022</v>
      </c>
      <c r="N5">
        <f t="shared" si="3"/>
        <v>42</v>
      </c>
    </row>
    <row r="6" spans="1:14" x14ac:dyDescent="0.3">
      <c r="A6" t="s">
        <v>29</v>
      </c>
      <c r="B6" t="s">
        <v>30</v>
      </c>
      <c r="C6" s="1">
        <v>28367</v>
      </c>
      <c r="D6" t="s">
        <v>15</v>
      </c>
      <c r="E6" t="s">
        <v>16</v>
      </c>
      <c r="F6" t="s">
        <v>17</v>
      </c>
      <c r="G6" t="s">
        <v>26</v>
      </c>
      <c r="H6" s="1">
        <v>44728</v>
      </c>
      <c r="I6" s="1">
        <v>44741</v>
      </c>
      <c r="J6" s="3">
        <v>91310.99</v>
      </c>
      <c r="K6" s="4">
        <f t="shared" si="0"/>
        <v>13</v>
      </c>
      <c r="L6" t="str">
        <f>TEXT(H6,"mmm")</f>
        <v>Jun</v>
      </c>
      <c r="M6">
        <f t="shared" si="2"/>
        <v>2022</v>
      </c>
      <c r="N6">
        <f t="shared" si="3"/>
        <v>44</v>
      </c>
    </row>
    <row r="7" spans="1:14" x14ac:dyDescent="0.3">
      <c r="A7" t="s">
        <v>31</v>
      </c>
      <c r="B7" t="s">
        <v>32</v>
      </c>
      <c r="C7" s="1">
        <v>24248</v>
      </c>
      <c r="D7" t="s">
        <v>15</v>
      </c>
      <c r="E7" t="s">
        <v>16</v>
      </c>
      <c r="F7" t="s">
        <v>22</v>
      </c>
      <c r="G7" t="s">
        <v>26</v>
      </c>
      <c r="H7" s="1">
        <v>44896</v>
      </c>
      <c r="I7" s="1">
        <v>44910</v>
      </c>
      <c r="J7" s="3">
        <v>90128.72</v>
      </c>
      <c r="K7" s="4">
        <f t="shared" si="0"/>
        <v>14</v>
      </c>
      <c r="L7" t="str">
        <f t="shared" si="1"/>
        <v>Dec</v>
      </c>
      <c r="M7">
        <f t="shared" si="2"/>
        <v>2022</v>
      </c>
      <c r="N7">
        <f t="shared" si="3"/>
        <v>56</v>
      </c>
    </row>
    <row r="8" spans="1:14" x14ac:dyDescent="0.3">
      <c r="A8" t="s">
        <v>33</v>
      </c>
      <c r="B8" t="s">
        <v>34</v>
      </c>
      <c r="C8" s="1">
        <v>38338</v>
      </c>
      <c r="D8" t="s">
        <v>21</v>
      </c>
      <c r="E8" t="s">
        <v>16</v>
      </c>
      <c r="F8" t="s">
        <v>17</v>
      </c>
      <c r="G8" t="s">
        <v>35</v>
      </c>
      <c r="H8" s="1">
        <v>45126</v>
      </c>
      <c r="I8" s="1">
        <v>45134</v>
      </c>
      <c r="J8" s="3">
        <v>89987.42</v>
      </c>
      <c r="K8" s="4">
        <f t="shared" si="0"/>
        <v>8</v>
      </c>
      <c r="L8" t="str">
        <f t="shared" si="1"/>
        <v>Jul</v>
      </c>
      <c r="M8">
        <f t="shared" si="2"/>
        <v>2023</v>
      </c>
      <c r="N8">
        <f t="shared" si="3"/>
        <v>18</v>
      </c>
    </row>
    <row r="9" spans="1:14" x14ac:dyDescent="0.3">
      <c r="A9" t="s">
        <v>36</v>
      </c>
      <c r="B9" t="s">
        <v>37</v>
      </c>
      <c r="C9" s="1">
        <v>35933</v>
      </c>
      <c r="D9" t="s">
        <v>15</v>
      </c>
      <c r="E9" t="s">
        <v>16</v>
      </c>
      <c r="F9" t="s">
        <v>17</v>
      </c>
      <c r="G9" t="s">
        <v>18</v>
      </c>
      <c r="H9" s="1">
        <v>45050</v>
      </c>
      <c r="I9" s="1">
        <v>45058</v>
      </c>
      <c r="J9" s="3">
        <v>82968.960000000006</v>
      </c>
      <c r="K9" s="4">
        <f t="shared" si="0"/>
        <v>8</v>
      </c>
      <c r="L9" t="str">
        <f t="shared" si="1"/>
        <v>May</v>
      </c>
      <c r="M9">
        <f t="shared" si="2"/>
        <v>2023</v>
      </c>
      <c r="N9">
        <f t="shared" si="3"/>
        <v>24</v>
      </c>
    </row>
    <row r="10" spans="1:14" x14ac:dyDescent="0.3">
      <c r="A10" t="s">
        <v>38</v>
      </c>
      <c r="B10" t="s">
        <v>39</v>
      </c>
      <c r="C10" s="1">
        <v>12939</v>
      </c>
      <c r="D10" t="s">
        <v>21</v>
      </c>
      <c r="E10" t="s">
        <v>16</v>
      </c>
      <c r="F10" t="s">
        <v>25</v>
      </c>
      <c r="G10" t="s">
        <v>26</v>
      </c>
      <c r="H10" s="1">
        <v>44453</v>
      </c>
      <c r="I10" s="1">
        <v>44457</v>
      </c>
      <c r="J10" s="3">
        <v>77649.09</v>
      </c>
      <c r="K10" s="4">
        <f t="shared" si="0"/>
        <v>4</v>
      </c>
      <c r="L10" t="str">
        <f t="shared" si="1"/>
        <v>Sep</v>
      </c>
      <c r="M10">
        <f t="shared" si="2"/>
        <v>2021</v>
      </c>
      <c r="N10">
        <f t="shared" si="3"/>
        <v>86</v>
      </c>
    </row>
    <row r="11" spans="1:14" x14ac:dyDescent="0.3">
      <c r="A11" t="s">
        <v>40</v>
      </c>
      <c r="B11" t="s">
        <v>41</v>
      </c>
      <c r="C11" s="1">
        <v>23163</v>
      </c>
      <c r="D11" t="s">
        <v>15</v>
      </c>
      <c r="E11" t="s">
        <v>16</v>
      </c>
      <c r="F11" t="s">
        <v>22</v>
      </c>
      <c r="G11" t="s">
        <v>26</v>
      </c>
      <c r="H11" s="1">
        <v>44800</v>
      </c>
      <c r="I11" s="1">
        <v>44814</v>
      </c>
      <c r="J11" s="3">
        <v>74873.58</v>
      </c>
      <c r="K11" s="4">
        <f t="shared" si="0"/>
        <v>14</v>
      </c>
      <c r="L11" t="str">
        <f t="shared" si="1"/>
        <v>Aug</v>
      </c>
      <c r="M11">
        <f t="shared" si="2"/>
        <v>2022</v>
      </c>
      <c r="N11">
        <f t="shared" si="3"/>
        <v>59</v>
      </c>
    </row>
    <row r="12" spans="1:14" x14ac:dyDescent="0.3">
      <c r="A12" t="s">
        <v>42</v>
      </c>
      <c r="B12" t="s">
        <v>43</v>
      </c>
      <c r="C12" s="1">
        <v>30433</v>
      </c>
      <c r="D12" t="s">
        <v>15</v>
      </c>
      <c r="E12" t="s">
        <v>16</v>
      </c>
      <c r="F12" t="s">
        <v>22</v>
      </c>
      <c r="G12" t="s">
        <v>26</v>
      </c>
      <c r="H12" s="1">
        <v>44401</v>
      </c>
      <c r="I12" s="1">
        <v>44417</v>
      </c>
      <c r="J12" s="3">
        <v>73896.19</v>
      </c>
      <c r="K12" s="4">
        <f t="shared" si="0"/>
        <v>16</v>
      </c>
      <c r="L12" t="str">
        <f t="shared" si="1"/>
        <v>Jul</v>
      </c>
      <c r="M12">
        <f t="shared" si="2"/>
        <v>2021</v>
      </c>
      <c r="N12">
        <f t="shared" si="3"/>
        <v>38</v>
      </c>
    </row>
    <row r="13" spans="1:14" x14ac:dyDescent="0.3">
      <c r="A13" t="s">
        <v>44</v>
      </c>
      <c r="B13" t="s">
        <v>45</v>
      </c>
      <c r="C13" s="1">
        <v>28616</v>
      </c>
      <c r="D13" t="s">
        <v>15</v>
      </c>
      <c r="E13" t="s">
        <v>16</v>
      </c>
      <c r="F13" t="s">
        <v>25</v>
      </c>
      <c r="G13" t="s">
        <v>18</v>
      </c>
      <c r="H13" s="1">
        <v>44412</v>
      </c>
      <c r="I13" s="1">
        <v>44418</v>
      </c>
      <c r="J13" s="3">
        <v>73517.149999999994</v>
      </c>
      <c r="K13" s="4">
        <f t="shared" si="0"/>
        <v>6</v>
      </c>
      <c r="L13" t="str">
        <f t="shared" si="1"/>
        <v>Aug</v>
      </c>
      <c r="M13">
        <f t="shared" si="2"/>
        <v>2021</v>
      </c>
      <c r="N13">
        <f t="shared" si="3"/>
        <v>43</v>
      </c>
    </row>
    <row r="14" spans="1:14" x14ac:dyDescent="0.3">
      <c r="A14" t="s">
        <v>46</v>
      </c>
      <c r="B14" t="s">
        <v>47</v>
      </c>
      <c r="C14" s="1">
        <v>44531</v>
      </c>
      <c r="D14" t="s">
        <v>21</v>
      </c>
      <c r="E14" t="s">
        <v>16</v>
      </c>
      <c r="F14" t="s">
        <v>22</v>
      </c>
      <c r="G14" t="s">
        <v>35</v>
      </c>
      <c r="H14" s="1">
        <v>44840</v>
      </c>
      <c r="I14" s="1">
        <v>44866</v>
      </c>
      <c r="J14" s="3">
        <v>70410.649999999994</v>
      </c>
      <c r="K14" s="4">
        <f t="shared" si="0"/>
        <v>26</v>
      </c>
      <c r="L14" t="str">
        <f t="shared" si="1"/>
        <v>Oct</v>
      </c>
      <c r="M14">
        <f t="shared" si="2"/>
        <v>2022</v>
      </c>
      <c r="N14">
        <f t="shared" si="3"/>
        <v>0</v>
      </c>
    </row>
    <row r="15" spans="1:14" x14ac:dyDescent="0.3">
      <c r="A15" t="s">
        <v>48</v>
      </c>
      <c r="B15" t="s">
        <v>49</v>
      </c>
      <c r="C15" s="1">
        <v>37576</v>
      </c>
      <c r="D15" t="s">
        <v>15</v>
      </c>
      <c r="E15" t="s">
        <v>16</v>
      </c>
      <c r="F15" t="s">
        <v>25</v>
      </c>
      <c r="G15" t="s">
        <v>35</v>
      </c>
      <c r="H15" s="1">
        <v>45264</v>
      </c>
      <c r="I15" s="1">
        <v>45294</v>
      </c>
      <c r="J15" s="3">
        <v>69668.87</v>
      </c>
      <c r="K15" s="4">
        <f t="shared" si="0"/>
        <v>30</v>
      </c>
      <c r="L15" t="str">
        <f t="shared" si="1"/>
        <v>Dec</v>
      </c>
      <c r="M15">
        <f t="shared" si="2"/>
        <v>2023</v>
      </c>
      <c r="N15">
        <f t="shared" si="3"/>
        <v>21</v>
      </c>
    </row>
    <row r="16" spans="1:14" x14ac:dyDescent="0.3">
      <c r="A16" t="s">
        <v>50</v>
      </c>
      <c r="B16" t="s">
        <v>51</v>
      </c>
      <c r="C16" s="1">
        <v>32047</v>
      </c>
      <c r="D16" t="s">
        <v>15</v>
      </c>
      <c r="E16" t="s">
        <v>16</v>
      </c>
      <c r="F16" t="s">
        <v>17</v>
      </c>
      <c r="G16" t="s">
        <v>35</v>
      </c>
      <c r="H16" s="1">
        <v>45451</v>
      </c>
      <c r="I16" s="1">
        <v>45471</v>
      </c>
      <c r="J16" s="3">
        <v>67424.22</v>
      </c>
      <c r="K16" s="4">
        <f t="shared" si="0"/>
        <v>20</v>
      </c>
      <c r="L16" t="str">
        <f t="shared" si="1"/>
        <v>Jun</v>
      </c>
      <c r="M16">
        <f t="shared" si="2"/>
        <v>2024</v>
      </c>
      <c r="N16">
        <f t="shared" si="3"/>
        <v>36</v>
      </c>
    </row>
    <row r="17" spans="1:14" x14ac:dyDescent="0.3">
      <c r="A17" t="s">
        <v>52</v>
      </c>
      <c r="B17" t="s">
        <v>53</v>
      </c>
      <c r="C17" s="1">
        <v>44124</v>
      </c>
      <c r="D17" t="s">
        <v>21</v>
      </c>
      <c r="E17" t="s">
        <v>16</v>
      </c>
      <c r="F17" t="s">
        <v>17</v>
      </c>
      <c r="G17" t="s">
        <v>35</v>
      </c>
      <c r="H17" s="1">
        <v>45182</v>
      </c>
      <c r="I17" s="1">
        <v>45188</v>
      </c>
      <c r="J17" s="3">
        <v>66497.34</v>
      </c>
      <c r="K17" s="4">
        <f t="shared" si="0"/>
        <v>6</v>
      </c>
      <c r="L17" t="str">
        <f t="shared" si="1"/>
        <v>Sep</v>
      </c>
      <c r="M17">
        <f t="shared" si="2"/>
        <v>2023</v>
      </c>
      <c r="N17">
        <f t="shared" si="3"/>
        <v>2</v>
      </c>
    </row>
    <row r="18" spans="1:14" x14ac:dyDescent="0.3">
      <c r="A18" t="s">
        <v>54</v>
      </c>
      <c r="B18" t="s">
        <v>55</v>
      </c>
      <c r="C18" s="1">
        <v>21903</v>
      </c>
      <c r="D18" t="s">
        <v>15</v>
      </c>
      <c r="E18" t="s">
        <v>16</v>
      </c>
      <c r="F18" t="s">
        <v>25</v>
      </c>
      <c r="G18" t="s">
        <v>35</v>
      </c>
      <c r="H18" s="1">
        <v>45261</v>
      </c>
      <c r="I18" s="1">
        <v>45263</v>
      </c>
      <c r="J18" s="3">
        <v>60642.52</v>
      </c>
      <c r="K18" s="4">
        <f t="shared" si="0"/>
        <v>2</v>
      </c>
      <c r="L18" t="str">
        <f t="shared" si="1"/>
        <v>Dec</v>
      </c>
      <c r="M18">
        <f t="shared" si="2"/>
        <v>2023</v>
      </c>
      <c r="N18">
        <f t="shared" si="3"/>
        <v>63</v>
      </c>
    </row>
    <row r="19" spans="1:14" x14ac:dyDescent="0.3">
      <c r="A19" t="s">
        <v>56</v>
      </c>
      <c r="B19" t="s">
        <v>57</v>
      </c>
      <c r="C19" s="1">
        <v>13511</v>
      </c>
      <c r="D19" t="s">
        <v>15</v>
      </c>
      <c r="E19" t="s">
        <v>16</v>
      </c>
      <c r="F19" t="s">
        <v>22</v>
      </c>
      <c r="G19" t="s">
        <v>18</v>
      </c>
      <c r="H19" s="1">
        <v>44665</v>
      </c>
      <c r="I19" s="1">
        <v>44668</v>
      </c>
      <c r="J19" s="3">
        <v>60452.7</v>
      </c>
      <c r="K19" s="4">
        <f t="shared" si="0"/>
        <v>3</v>
      </c>
      <c r="L19" t="str">
        <f t="shared" si="1"/>
        <v>Apr</v>
      </c>
      <c r="M19">
        <f t="shared" si="2"/>
        <v>2022</v>
      </c>
      <c r="N19">
        <f t="shared" si="3"/>
        <v>85</v>
      </c>
    </row>
    <row r="20" spans="1:14" x14ac:dyDescent="0.3">
      <c r="A20" t="s">
        <v>58</v>
      </c>
      <c r="B20" t="s">
        <v>59</v>
      </c>
      <c r="C20" s="1">
        <v>35960</v>
      </c>
      <c r="D20" t="s">
        <v>21</v>
      </c>
      <c r="E20" t="s">
        <v>16</v>
      </c>
      <c r="F20" t="s">
        <v>17</v>
      </c>
      <c r="G20" t="s">
        <v>35</v>
      </c>
      <c r="H20" s="1">
        <v>44552</v>
      </c>
      <c r="I20" s="1">
        <v>44580</v>
      </c>
      <c r="J20" s="3">
        <v>60079.35</v>
      </c>
      <c r="K20" s="4">
        <f t="shared" si="0"/>
        <v>28</v>
      </c>
      <c r="L20" t="str">
        <f t="shared" si="1"/>
        <v>Dec</v>
      </c>
      <c r="M20">
        <f t="shared" si="2"/>
        <v>2021</v>
      </c>
      <c r="N20">
        <f t="shared" si="3"/>
        <v>23</v>
      </c>
    </row>
    <row r="21" spans="1:14" x14ac:dyDescent="0.3">
      <c r="A21" t="s">
        <v>60</v>
      </c>
      <c r="B21" t="s">
        <v>61</v>
      </c>
      <c r="C21" s="1">
        <v>15382</v>
      </c>
      <c r="D21" t="s">
        <v>21</v>
      </c>
      <c r="E21" t="s">
        <v>16</v>
      </c>
      <c r="F21" t="s">
        <v>25</v>
      </c>
      <c r="G21" t="s">
        <v>26</v>
      </c>
      <c r="H21" s="1">
        <v>44469</v>
      </c>
      <c r="I21" s="1">
        <v>44477</v>
      </c>
      <c r="J21" s="3">
        <v>56380.86</v>
      </c>
      <c r="K21" s="4">
        <f t="shared" si="0"/>
        <v>8</v>
      </c>
      <c r="L21" t="str">
        <f t="shared" si="1"/>
        <v>Sep</v>
      </c>
      <c r="M21">
        <f t="shared" si="2"/>
        <v>2021</v>
      </c>
      <c r="N21">
        <f t="shared" si="3"/>
        <v>79</v>
      </c>
    </row>
    <row r="22" spans="1:14" x14ac:dyDescent="0.3">
      <c r="A22" t="s">
        <v>62</v>
      </c>
      <c r="B22" t="s">
        <v>63</v>
      </c>
      <c r="C22" s="1">
        <v>31615</v>
      </c>
      <c r="D22" t="s">
        <v>15</v>
      </c>
      <c r="E22" t="s">
        <v>16</v>
      </c>
      <c r="F22" t="s">
        <v>25</v>
      </c>
      <c r="G22" t="s">
        <v>26</v>
      </c>
      <c r="H22" s="1">
        <v>45249</v>
      </c>
      <c r="I22" s="1">
        <v>45257</v>
      </c>
      <c r="J22" s="3">
        <v>55578.6</v>
      </c>
      <c r="K22" s="4">
        <f t="shared" si="0"/>
        <v>8</v>
      </c>
      <c r="L22" t="str">
        <f t="shared" si="1"/>
        <v>Nov</v>
      </c>
      <c r="M22">
        <f t="shared" si="2"/>
        <v>2023</v>
      </c>
      <c r="N22">
        <f t="shared" si="3"/>
        <v>37</v>
      </c>
    </row>
    <row r="23" spans="1:14" x14ac:dyDescent="0.3">
      <c r="A23" t="s">
        <v>64</v>
      </c>
      <c r="B23" t="s">
        <v>65</v>
      </c>
      <c r="C23" s="1">
        <v>35589</v>
      </c>
      <c r="D23" t="s">
        <v>21</v>
      </c>
      <c r="E23" t="s">
        <v>16</v>
      </c>
      <c r="F23" t="s">
        <v>17</v>
      </c>
      <c r="G23" t="s">
        <v>18</v>
      </c>
      <c r="H23" s="1">
        <v>45189</v>
      </c>
      <c r="I23" s="1">
        <v>45217</v>
      </c>
      <c r="J23" s="3">
        <v>55307.76</v>
      </c>
      <c r="K23" s="4">
        <f t="shared" si="0"/>
        <v>28</v>
      </c>
      <c r="L23" t="str">
        <f t="shared" si="1"/>
        <v>Sep</v>
      </c>
      <c r="M23">
        <f t="shared" si="2"/>
        <v>2023</v>
      </c>
      <c r="N23">
        <f t="shared" si="3"/>
        <v>26</v>
      </c>
    </row>
    <row r="24" spans="1:14" x14ac:dyDescent="0.3">
      <c r="A24" t="s">
        <v>66</v>
      </c>
      <c r="B24" t="s">
        <v>67</v>
      </c>
      <c r="C24" s="1">
        <v>22828</v>
      </c>
      <c r="D24" t="s">
        <v>15</v>
      </c>
      <c r="E24" t="s">
        <v>2145</v>
      </c>
      <c r="F24" t="s">
        <v>68</v>
      </c>
      <c r="G24" t="s">
        <v>69</v>
      </c>
      <c r="H24" s="1">
        <v>44470</v>
      </c>
      <c r="I24" s="1">
        <v>44476</v>
      </c>
      <c r="J24" s="3">
        <v>49858.44</v>
      </c>
      <c r="K24" s="4">
        <f t="shared" si="0"/>
        <v>6</v>
      </c>
      <c r="L24" t="str">
        <f t="shared" si="1"/>
        <v>Oct</v>
      </c>
      <c r="M24">
        <f t="shared" si="2"/>
        <v>2021</v>
      </c>
      <c r="N24">
        <f t="shared" si="3"/>
        <v>59</v>
      </c>
    </row>
    <row r="25" spans="1:14" x14ac:dyDescent="0.3">
      <c r="A25" t="s">
        <v>70</v>
      </c>
      <c r="B25" t="s">
        <v>71</v>
      </c>
      <c r="C25" s="1">
        <v>10389</v>
      </c>
      <c r="D25" t="s">
        <v>21</v>
      </c>
      <c r="E25" t="s">
        <v>72</v>
      </c>
      <c r="F25" t="s">
        <v>17</v>
      </c>
      <c r="G25" t="s">
        <v>73</v>
      </c>
      <c r="H25" s="1">
        <v>44825</v>
      </c>
      <c r="I25" s="1">
        <v>44855</v>
      </c>
      <c r="J25" s="3">
        <v>49163.76</v>
      </c>
      <c r="K25" s="4">
        <f t="shared" si="0"/>
        <v>30</v>
      </c>
      <c r="L25" t="str">
        <f t="shared" si="1"/>
        <v>Sep</v>
      </c>
      <c r="M25">
        <f t="shared" si="2"/>
        <v>2022</v>
      </c>
      <c r="N25">
        <f t="shared" si="3"/>
        <v>94</v>
      </c>
    </row>
    <row r="26" spans="1:14" x14ac:dyDescent="0.3">
      <c r="A26" t="s">
        <v>74</v>
      </c>
      <c r="B26" t="s">
        <v>75</v>
      </c>
      <c r="C26" s="1">
        <v>39187</v>
      </c>
      <c r="D26" t="s">
        <v>15</v>
      </c>
      <c r="E26" t="s">
        <v>72</v>
      </c>
      <c r="F26" t="s">
        <v>17</v>
      </c>
      <c r="G26" t="s">
        <v>76</v>
      </c>
      <c r="H26" s="1">
        <v>44647</v>
      </c>
      <c r="I26" s="1">
        <v>44675</v>
      </c>
      <c r="J26" s="3">
        <v>49010.2</v>
      </c>
      <c r="K26" s="4">
        <f t="shared" si="0"/>
        <v>28</v>
      </c>
      <c r="L26" t="str">
        <f t="shared" si="1"/>
        <v>Mar</v>
      </c>
      <c r="M26">
        <f t="shared" si="2"/>
        <v>2022</v>
      </c>
      <c r="N26">
        <f t="shared" si="3"/>
        <v>14</v>
      </c>
    </row>
    <row r="27" spans="1:14" x14ac:dyDescent="0.3">
      <c r="A27" t="s">
        <v>77</v>
      </c>
      <c r="B27" t="s">
        <v>78</v>
      </c>
      <c r="C27" s="1">
        <v>30319</v>
      </c>
      <c r="D27" t="s">
        <v>21</v>
      </c>
      <c r="E27" t="s">
        <v>79</v>
      </c>
      <c r="F27" t="s">
        <v>80</v>
      </c>
      <c r="G27" t="s">
        <v>81</v>
      </c>
      <c r="H27" s="1">
        <v>45049</v>
      </c>
      <c r="I27" s="1">
        <v>45075</v>
      </c>
      <c r="J27" s="3">
        <v>48494.96</v>
      </c>
      <c r="K27" s="4">
        <f t="shared" si="0"/>
        <v>26</v>
      </c>
      <c r="L27" t="str">
        <f t="shared" si="1"/>
        <v>May</v>
      </c>
      <c r="M27">
        <f t="shared" si="2"/>
        <v>2023</v>
      </c>
      <c r="N27">
        <f t="shared" si="3"/>
        <v>40</v>
      </c>
    </row>
    <row r="28" spans="1:14" x14ac:dyDescent="0.3">
      <c r="A28" t="s">
        <v>82</v>
      </c>
      <c r="B28" t="s">
        <v>83</v>
      </c>
      <c r="C28" s="1">
        <v>43980</v>
      </c>
      <c r="D28" t="s">
        <v>15</v>
      </c>
      <c r="E28" t="s">
        <v>2145</v>
      </c>
      <c r="F28" t="s">
        <v>84</v>
      </c>
      <c r="G28" t="s">
        <v>85</v>
      </c>
      <c r="H28" s="1">
        <v>44461</v>
      </c>
      <c r="I28" s="1">
        <v>44478</v>
      </c>
      <c r="J28" s="3">
        <v>48452.66</v>
      </c>
      <c r="K28" s="4">
        <f t="shared" si="0"/>
        <v>17</v>
      </c>
      <c r="L28" t="str">
        <f t="shared" si="1"/>
        <v>Sep</v>
      </c>
      <c r="M28">
        <f t="shared" si="2"/>
        <v>2021</v>
      </c>
      <c r="N28">
        <f t="shared" si="3"/>
        <v>1</v>
      </c>
    </row>
    <row r="29" spans="1:14" x14ac:dyDescent="0.3">
      <c r="A29" t="s">
        <v>86</v>
      </c>
      <c r="B29" t="s">
        <v>87</v>
      </c>
      <c r="C29" s="1">
        <v>40152</v>
      </c>
      <c r="D29" t="s">
        <v>21</v>
      </c>
      <c r="E29" t="s">
        <v>72</v>
      </c>
      <c r="F29" t="s">
        <v>84</v>
      </c>
      <c r="G29" t="s">
        <v>88</v>
      </c>
      <c r="H29" s="1">
        <v>45415</v>
      </c>
      <c r="I29" s="1">
        <v>45423</v>
      </c>
      <c r="J29" s="3">
        <v>48269.72</v>
      </c>
      <c r="K29" s="4">
        <f t="shared" si="0"/>
        <v>8</v>
      </c>
      <c r="L29" t="str">
        <f t="shared" si="1"/>
        <v>May</v>
      </c>
      <c r="M29">
        <f t="shared" si="2"/>
        <v>2024</v>
      </c>
      <c r="N29">
        <f t="shared" si="3"/>
        <v>14</v>
      </c>
    </row>
    <row r="30" spans="1:14" x14ac:dyDescent="0.3">
      <c r="A30" t="s">
        <v>89</v>
      </c>
      <c r="B30" t="s">
        <v>90</v>
      </c>
      <c r="C30" s="1">
        <v>43333</v>
      </c>
      <c r="D30" t="s">
        <v>21</v>
      </c>
      <c r="E30" t="s">
        <v>79</v>
      </c>
      <c r="F30" t="s">
        <v>91</v>
      </c>
      <c r="G30" t="s">
        <v>92</v>
      </c>
      <c r="H30" s="1">
        <v>44570</v>
      </c>
      <c r="I30" s="1">
        <v>44597</v>
      </c>
      <c r="J30" s="3">
        <v>48070.1</v>
      </c>
      <c r="K30" s="4">
        <f t="shared" si="0"/>
        <v>27</v>
      </c>
      <c r="L30" t="str">
        <f t="shared" si="1"/>
        <v>Jan</v>
      </c>
      <c r="M30">
        <f t="shared" si="2"/>
        <v>2022</v>
      </c>
      <c r="N30">
        <f t="shared" si="3"/>
        <v>3</v>
      </c>
    </row>
    <row r="31" spans="1:14" x14ac:dyDescent="0.3">
      <c r="A31" t="s">
        <v>93</v>
      </c>
      <c r="B31" t="s">
        <v>94</v>
      </c>
      <c r="C31" s="1">
        <v>12051</v>
      </c>
      <c r="D31" t="s">
        <v>15</v>
      </c>
      <c r="E31" t="s">
        <v>79</v>
      </c>
      <c r="F31" t="s">
        <v>95</v>
      </c>
      <c r="G31" t="s">
        <v>81</v>
      </c>
      <c r="H31" s="1">
        <v>44822</v>
      </c>
      <c r="I31" s="1">
        <v>44828</v>
      </c>
      <c r="J31" s="3">
        <v>47984.27</v>
      </c>
      <c r="K31" s="4">
        <f t="shared" si="0"/>
        <v>6</v>
      </c>
      <c r="L31" t="str">
        <f t="shared" si="1"/>
        <v>Sep</v>
      </c>
      <c r="M31">
        <f t="shared" si="2"/>
        <v>2022</v>
      </c>
      <c r="N31">
        <f t="shared" si="3"/>
        <v>89</v>
      </c>
    </row>
    <row r="32" spans="1:14" x14ac:dyDescent="0.3">
      <c r="A32" t="s">
        <v>96</v>
      </c>
      <c r="B32" t="s">
        <v>97</v>
      </c>
      <c r="C32" s="1">
        <v>38791</v>
      </c>
      <c r="D32" t="s">
        <v>21</v>
      </c>
      <c r="E32" t="s">
        <v>2145</v>
      </c>
      <c r="F32" t="s">
        <v>84</v>
      </c>
      <c r="G32" t="s">
        <v>69</v>
      </c>
      <c r="H32" s="1">
        <v>44840</v>
      </c>
      <c r="I32" s="1">
        <v>44867</v>
      </c>
      <c r="J32" s="3">
        <v>47867.26</v>
      </c>
      <c r="K32" s="4">
        <f t="shared" si="0"/>
        <v>27</v>
      </c>
      <c r="L32" t="str">
        <f t="shared" si="1"/>
        <v>Oct</v>
      </c>
      <c r="M32">
        <f t="shared" si="2"/>
        <v>2022</v>
      </c>
      <c r="N32">
        <f t="shared" si="3"/>
        <v>16</v>
      </c>
    </row>
    <row r="33" spans="1:14" x14ac:dyDescent="0.3">
      <c r="A33" t="s">
        <v>98</v>
      </c>
      <c r="B33" t="s">
        <v>99</v>
      </c>
      <c r="C33" s="1">
        <v>39754</v>
      </c>
      <c r="D33" t="s">
        <v>15</v>
      </c>
      <c r="E33" t="s">
        <v>72</v>
      </c>
      <c r="F33" t="s">
        <v>84</v>
      </c>
      <c r="G33" t="s">
        <v>73</v>
      </c>
      <c r="H33" s="1">
        <v>44473</v>
      </c>
      <c r="I33" s="1">
        <v>44478</v>
      </c>
      <c r="J33" s="3">
        <v>47848.06</v>
      </c>
      <c r="K33" s="4">
        <f t="shared" si="0"/>
        <v>5</v>
      </c>
      <c r="L33" t="str">
        <f t="shared" si="1"/>
        <v>Oct</v>
      </c>
      <c r="M33">
        <f t="shared" si="2"/>
        <v>2021</v>
      </c>
      <c r="N33">
        <f t="shared" si="3"/>
        <v>12</v>
      </c>
    </row>
    <row r="34" spans="1:14" x14ac:dyDescent="0.3">
      <c r="A34" t="s">
        <v>100</v>
      </c>
      <c r="B34" t="s">
        <v>101</v>
      </c>
      <c r="C34" s="1">
        <v>16030</v>
      </c>
      <c r="D34" t="s">
        <v>21</v>
      </c>
      <c r="E34" t="s">
        <v>2145</v>
      </c>
      <c r="F34" t="s">
        <v>68</v>
      </c>
      <c r="G34" t="s">
        <v>69</v>
      </c>
      <c r="H34" s="1">
        <v>44438</v>
      </c>
      <c r="I34" s="1">
        <v>44448</v>
      </c>
      <c r="J34" s="3">
        <v>47724.71</v>
      </c>
      <c r="K34" s="4">
        <f t="shared" si="0"/>
        <v>10</v>
      </c>
      <c r="L34" t="str">
        <f t="shared" si="1"/>
        <v>Aug</v>
      </c>
      <c r="M34">
        <f t="shared" si="2"/>
        <v>2021</v>
      </c>
      <c r="N34">
        <f t="shared" si="3"/>
        <v>77</v>
      </c>
    </row>
    <row r="35" spans="1:14" x14ac:dyDescent="0.3">
      <c r="A35" t="s">
        <v>102</v>
      </c>
      <c r="B35" t="s">
        <v>103</v>
      </c>
      <c r="C35" s="1">
        <v>36329</v>
      </c>
      <c r="D35" t="s">
        <v>21</v>
      </c>
      <c r="E35" t="s">
        <v>2145</v>
      </c>
      <c r="F35" t="s">
        <v>84</v>
      </c>
      <c r="G35" t="s">
        <v>69</v>
      </c>
      <c r="H35" s="1">
        <v>44991</v>
      </c>
      <c r="I35" s="1">
        <v>45019</v>
      </c>
      <c r="J35" s="3">
        <v>47630.41</v>
      </c>
      <c r="K35" s="4">
        <f t="shared" si="0"/>
        <v>28</v>
      </c>
      <c r="L35" t="str">
        <f t="shared" si="1"/>
        <v>Mar</v>
      </c>
      <c r="M35">
        <f t="shared" si="2"/>
        <v>2023</v>
      </c>
      <c r="N35">
        <f t="shared" si="3"/>
        <v>23</v>
      </c>
    </row>
    <row r="36" spans="1:14" x14ac:dyDescent="0.3">
      <c r="A36" t="s">
        <v>104</v>
      </c>
      <c r="B36" t="s">
        <v>105</v>
      </c>
      <c r="C36" s="1">
        <v>16182</v>
      </c>
      <c r="D36" t="s">
        <v>21</v>
      </c>
      <c r="E36" t="s">
        <v>79</v>
      </c>
      <c r="F36" t="s">
        <v>91</v>
      </c>
      <c r="G36" t="s">
        <v>81</v>
      </c>
      <c r="H36" s="1">
        <v>45034</v>
      </c>
      <c r="I36" s="1">
        <v>45046</v>
      </c>
      <c r="J36" s="3">
        <v>46844.39</v>
      </c>
      <c r="K36" s="4">
        <f t="shared" si="0"/>
        <v>12</v>
      </c>
      <c r="L36" t="str">
        <f t="shared" si="1"/>
        <v>Apr</v>
      </c>
      <c r="M36">
        <f t="shared" si="2"/>
        <v>2023</v>
      </c>
      <c r="N36">
        <f t="shared" si="3"/>
        <v>78</v>
      </c>
    </row>
    <row r="37" spans="1:14" x14ac:dyDescent="0.3">
      <c r="A37" t="s">
        <v>106</v>
      </c>
      <c r="B37" t="s">
        <v>107</v>
      </c>
      <c r="C37" s="1">
        <v>42954</v>
      </c>
      <c r="D37" t="s">
        <v>21</v>
      </c>
      <c r="E37" t="s">
        <v>2145</v>
      </c>
      <c r="F37" t="s">
        <v>84</v>
      </c>
      <c r="G37" t="s">
        <v>85</v>
      </c>
      <c r="H37" s="1">
        <v>44840</v>
      </c>
      <c r="I37" s="1">
        <v>44845</v>
      </c>
      <c r="J37" s="3">
        <v>46178.239999999998</v>
      </c>
      <c r="K37" s="4">
        <f t="shared" si="0"/>
        <v>5</v>
      </c>
      <c r="L37" t="str">
        <f t="shared" si="1"/>
        <v>Oct</v>
      </c>
      <c r="M37">
        <f t="shared" si="2"/>
        <v>2022</v>
      </c>
      <c r="N37">
        <f t="shared" si="3"/>
        <v>5</v>
      </c>
    </row>
    <row r="38" spans="1:14" x14ac:dyDescent="0.3">
      <c r="A38" t="s">
        <v>108</v>
      </c>
      <c r="B38" t="s">
        <v>109</v>
      </c>
      <c r="C38" s="1">
        <v>37235</v>
      </c>
      <c r="D38" t="s">
        <v>21</v>
      </c>
      <c r="E38" t="s">
        <v>2145</v>
      </c>
      <c r="F38" t="s">
        <v>84</v>
      </c>
      <c r="G38" t="s">
        <v>110</v>
      </c>
      <c r="H38" s="1">
        <v>45456</v>
      </c>
      <c r="I38" s="1">
        <v>45465</v>
      </c>
      <c r="J38" s="3">
        <v>45674.34</v>
      </c>
      <c r="K38" s="4">
        <f t="shared" si="0"/>
        <v>9</v>
      </c>
      <c r="L38" t="str">
        <f t="shared" si="1"/>
        <v>Jun</v>
      </c>
      <c r="M38">
        <f t="shared" si="2"/>
        <v>2024</v>
      </c>
      <c r="N38">
        <f t="shared" si="3"/>
        <v>22</v>
      </c>
    </row>
    <row r="39" spans="1:14" x14ac:dyDescent="0.3">
      <c r="A39" t="s">
        <v>111</v>
      </c>
      <c r="B39" t="s">
        <v>112</v>
      </c>
      <c r="C39" s="1">
        <v>25632</v>
      </c>
      <c r="D39" t="s">
        <v>15</v>
      </c>
      <c r="E39" t="s">
        <v>2145</v>
      </c>
      <c r="F39" t="s">
        <v>68</v>
      </c>
      <c r="G39" t="s">
        <v>85</v>
      </c>
      <c r="H39" s="1">
        <v>44645</v>
      </c>
      <c r="I39" s="1">
        <v>44673</v>
      </c>
      <c r="J39" s="3">
        <v>44744.9</v>
      </c>
      <c r="K39" s="4">
        <f t="shared" si="0"/>
        <v>28</v>
      </c>
      <c r="L39" t="str">
        <f t="shared" si="1"/>
        <v>Mar</v>
      </c>
      <c r="M39">
        <f t="shared" si="2"/>
        <v>2022</v>
      </c>
      <c r="N39">
        <f t="shared" si="3"/>
        <v>52</v>
      </c>
    </row>
    <row r="40" spans="1:14" x14ac:dyDescent="0.3">
      <c r="A40" t="s">
        <v>113</v>
      </c>
      <c r="B40" t="s">
        <v>114</v>
      </c>
      <c r="C40" s="1">
        <v>21238</v>
      </c>
      <c r="D40" t="s">
        <v>21</v>
      </c>
      <c r="E40" t="s">
        <v>16</v>
      </c>
      <c r="F40" t="s">
        <v>25</v>
      </c>
      <c r="G40" t="s">
        <v>35</v>
      </c>
      <c r="H40" s="1">
        <v>44754</v>
      </c>
      <c r="I40" s="1">
        <v>44755</v>
      </c>
      <c r="J40" s="3">
        <v>44687.63</v>
      </c>
      <c r="K40" s="4">
        <f t="shared" si="0"/>
        <v>1</v>
      </c>
      <c r="L40" t="str">
        <f t="shared" si="1"/>
        <v>Jul</v>
      </c>
      <c r="M40">
        <f t="shared" si="2"/>
        <v>2022</v>
      </c>
      <c r="N40">
        <f t="shared" si="3"/>
        <v>64</v>
      </c>
    </row>
    <row r="41" spans="1:14" x14ac:dyDescent="0.3">
      <c r="A41" t="s">
        <v>115</v>
      </c>
      <c r="B41" t="s">
        <v>116</v>
      </c>
      <c r="C41" s="1">
        <v>12927</v>
      </c>
      <c r="D41" t="s">
        <v>21</v>
      </c>
      <c r="E41" t="s">
        <v>79</v>
      </c>
      <c r="F41" t="s">
        <v>91</v>
      </c>
      <c r="G41" t="s">
        <v>117</v>
      </c>
      <c r="H41" s="1">
        <v>45380</v>
      </c>
      <c r="I41" s="1">
        <v>45381</v>
      </c>
      <c r="J41" s="3">
        <v>44409.57</v>
      </c>
      <c r="K41" s="4">
        <f t="shared" si="0"/>
        <v>1</v>
      </c>
      <c r="L41" t="str">
        <f t="shared" si="1"/>
        <v>Mar</v>
      </c>
      <c r="M41">
        <f t="shared" si="2"/>
        <v>2024</v>
      </c>
      <c r="N41">
        <f t="shared" si="3"/>
        <v>88</v>
      </c>
    </row>
    <row r="42" spans="1:14" x14ac:dyDescent="0.3">
      <c r="A42" t="s">
        <v>118</v>
      </c>
      <c r="B42" t="s">
        <v>119</v>
      </c>
      <c r="C42" s="1">
        <v>23809</v>
      </c>
      <c r="D42" t="s">
        <v>21</v>
      </c>
      <c r="E42" t="s">
        <v>2145</v>
      </c>
      <c r="F42" t="s">
        <v>84</v>
      </c>
      <c r="G42" t="s">
        <v>69</v>
      </c>
      <c r="H42" s="1">
        <v>45043</v>
      </c>
      <c r="I42" s="1">
        <v>45060</v>
      </c>
      <c r="J42" s="3">
        <v>43294.16</v>
      </c>
      <c r="K42" s="4">
        <f t="shared" si="0"/>
        <v>17</v>
      </c>
      <c r="L42" t="str">
        <f t="shared" si="1"/>
        <v>Apr</v>
      </c>
      <c r="M42">
        <f t="shared" si="2"/>
        <v>2023</v>
      </c>
      <c r="N42">
        <f t="shared" si="3"/>
        <v>58</v>
      </c>
    </row>
    <row r="43" spans="1:14" x14ac:dyDescent="0.3">
      <c r="A43" t="s">
        <v>120</v>
      </c>
      <c r="B43" t="s">
        <v>121</v>
      </c>
      <c r="C43" s="1">
        <v>15344</v>
      </c>
      <c r="D43" t="s">
        <v>21</v>
      </c>
      <c r="E43" t="s">
        <v>16</v>
      </c>
      <c r="F43" t="s">
        <v>25</v>
      </c>
      <c r="G43" t="s">
        <v>26</v>
      </c>
      <c r="H43" s="1">
        <v>44566</v>
      </c>
      <c r="I43" s="1">
        <v>44585</v>
      </c>
      <c r="J43" s="3">
        <v>42818.23</v>
      </c>
      <c r="K43" s="4">
        <f t="shared" si="0"/>
        <v>19</v>
      </c>
      <c r="L43" t="str">
        <f t="shared" si="1"/>
        <v>Jan</v>
      </c>
      <c r="M43">
        <f t="shared" si="2"/>
        <v>2022</v>
      </c>
      <c r="N43">
        <f t="shared" si="3"/>
        <v>80</v>
      </c>
    </row>
    <row r="44" spans="1:14" x14ac:dyDescent="0.3">
      <c r="A44" t="s">
        <v>122</v>
      </c>
      <c r="B44" t="s">
        <v>123</v>
      </c>
      <c r="C44" s="1">
        <v>33032</v>
      </c>
      <c r="D44" t="s">
        <v>21</v>
      </c>
      <c r="E44" t="s">
        <v>72</v>
      </c>
      <c r="F44" t="s">
        <v>17</v>
      </c>
      <c r="G44" t="s">
        <v>76</v>
      </c>
      <c r="H44" s="1">
        <v>44836</v>
      </c>
      <c r="I44" s="1">
        <v>44851</v>
      </c>
      <c r="J44" s="3">
        <v>42814.66</v>
      </c>
      <c r="K44" s="4">
        <f t="shared" si="0"/>
        <v>15</v>
      </c>
      <c r="L44" t="str">
        <f t="shared" si="1"/>
        <v>Oct</v>
      </c>
      <c r="M44">
        <f t="shared" si="2"/>
        <v>2022</v>
      </c>
      <c r="N44">
        <f t="shared" si="3"/>
        <v>32</v>
      </c>
    </row>
    <row r="45" spans="1:14" x14ac:dyDescent="0.3">
      <c r="A45" t="s">
        <v>124</v>
      </c>
      <c r="B45" t="s">
        <v>125</v>
      </c>
      <c r="C45" s="1">
        <v>27363</v>
      </c>
      <c r="D45" t="s">
        <v>21</v>
      </c>
      <c r="E45" t="s">
        <v>2145</v>
      </c>
      <c r="F45" t="s">
        <v>84</v>
      </c>
      <c r="G45" t="s">
        <v>69</v>
      </c>
      <c r="H45" s="1">
        <v>44877</v>
      </c>
      <c r="I45" s="1">
        <v>44897</v>
      </c>
      <c r="J45" s="3">
        <v>42477.78</v>
      </c>
      <c r="K45" s="4">
        <f t="shared" si="0"/>
        <v>20</v>
      </c>
      <c r="L45" t="str">
        <f t="shared" si="1"/>
        <v>Nov</v>
      </c>
      <c r="M45">
        <f t="shared" si="2"/>
        <v>2022</v>
      </c>
      <c r="N45">
        <f t="shared" si="3"/>
        <v>47</v>
      </c>
    </row>
    <row r="46" spans="1:14" x14ac:dyDescent="0.3">
      <c r="A46" t="s">
        <v>126</v>
      </c>
      <c r="B46" t="s">
        <v>127</v>
      </c>
      <c r="C46" s="1">
        <v>16315</v>
      </c>
      <c r="D46" t="s">
        <v>15</v>
      </c>
      <c r="E46" t="s">
        <v>79</v>
      </c>
      <c r="F46" t="s">
        <v>91</v>
      </c>
      <c r="G46" t="s">
        <v>117</v>
      </c>
      <c r="H46" s="1">
        <v>45085</v>
      </c>
      <c r="I46" s="1">
        <v>45110</v>
      </c>
      <c r="J46" s="3">
        <v>42218.98</v>
      </c>
      <c r="K46" s="4">
        <f t="shared" si="0"/>
        <v>25</v>
      </c>
      <c r="L46" t="str">
        <f t="shared" si="1"/>
        <v>Jun</v>
      </c>
      <c r="M46">
        <f t="shared" si="2"/>
        <v>2023</v>
      </c>
      <c r="N46">
        <f t="shared" si="3"/>
        <v>78</v>
      </c>
    </row>
    <row r="47" spans="1:14" x14ac:dyDescent="0.3">
      <c r="A47" t="s">
        <v>128</v>
      </c>
      <c r="B47" t="s">
        <v>129</v>
      </c>
      <c r="C47" s="1">
        <v>16186</v>
      </c>
      <c r="D47" t="s">
        <v>21</v>
      </c>
      <c r="E47" t="s">
        <v>16</v>
      </c>
      <c r="F47" t="s">
        <v>17</v>
      </c>
      <c r="G47" t="s">
        <v>35</v>
      </c>
      <c r="H47" s="1">
        <v>45073</v>
      </c>
      <c r="I47" s="1">
        <v>45098</v>
      </c>
      <c r="J47" s="3">
        <v>41935.279999999999</v>
      </c>
      <c r="K47" s="4">
        <f t="shared" si="0"/>
        <v>25</v>
      </c>
      <c r="L47" t="str">
        <f t="shared" si="1"/>
        <v>May</v>
      </c>
      <c r="M47">
        <f t="shared" si="2"/>
        <v>2023</v>
      </c>
      <c r="N47">
        <f t="shared" si="3"/>
        <v>79</v>
      </c>
    </row>
    <row r="48" spans="1:14" x14ac:dyDescent="0.3">
      <c r="A48" t="s">
        <v>130</v>
      </c>
      <c r="B48" t="s">
        <v>131</v>
      </c>
      <c r="C48" s="1">
        <v>20832</v>
      </c>
      <c r="D48" t="s">
        <v>15</v>
      </c>
      <c r="E48" t="s">
        <v>72</v>
      </c>
      <c r="F48" t="s">
        <v>17</v>
      </c>
      <c r="G48" t="s">
        <v>88</v>
      </c>
      <c r="H48" s="1">
        <v>44966</v>
      </c>
      <c r="I48" s="1">
        <v>44989</v>
      </c>
      <c r="J48" s="3">
        <v>41916.629999999997</v>
      </c>
      <c r="K48" s="4">
        <f t="shared" si="0"/>
        <v>23</v>
      </c>
      <c r="L48" t="str">
        <f t="shared" si="1"/>
        <v>Feb</v>
      </c>
      <c r="M48">
        <f t="shared" si="2"/>
        <v>2023</v>
      </c>
      <c r="N48">
        <f t="shared" si="3"/>
        <v>66</v>
      </c>
    </row>
    <row r="49" spans="1:14" x14ac:dyDescent="0.3">
      <c r="A49" t="s">
        <v>132</v>
      </c>
      <c r="B49" t="s">
        <v>133</v>
      </c>
      <c r="C49" s="1">
        <v>25608</v>
      </c>
      <c r="D49" t="s">
        <v>15</v>
      </c>
      <c r="E49" t="s">
        <v>72</v>
      </c>
      <c r="F49" t="s">
        <v>84</v>
      </c>
      <c r="G49" t="s">
        <v>73</v>
      </c>
      <c r="H49" s="1">
        <v>44621</v>
      </c>
      <c r="I49" s="1">
        <v>44623</v>
      </c>
      <c r="J49" s="3">
        <v>41862.74</v>
      </c>
      <c r="K49" s="4">
        <f t="shared" si="0"/>
        <v>2</v>
      </c>
      <c r="L49" t="str">
        <f t="shared" si="1"/>
        <v>Mar</v>
      </c>
      <c r="M49">
        <f t="shared" si="2"/>
        <v>2022</v>
      </c>
      <c r="N49">
        <f t="shared" si="3"/>
        <v>52</v>
      </c>
    </row>
    <row r="50" spans="1:14" x14ac:dyDescent="0.3">
      <c r="A50" t="s">
        <v>134</v>
      </c>
      <c r="B50" t="s">
        <v>135</v>
      </c>
      <c r="C50" s="1">
        <v>21933</v>
      </c>
      <c r="D50" t="s">
        <v>21</v>
      </c>
      <c r="E50" t="s">
        <v>2145</v>
      </c>
      <c r="F50" t="s">
        <v>68</v>
      </c>
      <c r="G50" t="s">
        <v>85</v>
      </c>
      <c r="H50" s="1">
        <v>44802</v>
      </c>
      <c r="I50" s="1">
        <v>44819</v>
      </c>
      <c r="J50" s="3">
        <v>41845.949999999997</v>
      </c>
      <c r="K50" s="4">
        <f t="shared" si="0"/>
        <v>17</v>
      </c>
      <c r="L50" t="str">
        <f t="shared" si="1"/>
        <v>Aug</v>
      </c>
      <c r="M50">
        <f t="shared" si="2"/>
        <v>2022</v>
      </c>
      <c r="N50">
        <f t="shared" si="3"/>
        <v>62</v>
      </c>
    </row>
    <row r="51" spans="1:14" x14ac:dyDescent="0.3">
      <c r="A51" t="s">
        <v>136</v>
      </c>
      <c r="B51" t="s">
        <v>137</v>
      </c>
      <c r="C51" s="1">
        <v>16106</v>
      </c>
      <c r="D51" t="s">
        <v>21</v>
      </c>
      <c r="E51" t="s">
        <v>72</v>
      </c>
      <c r="F51" t="s">
        <v>84</v>
      </c>
      <c r="G51" t="s">
        <v>88</v>
      </c>
      <c r="H51" s="1">
        <v>45155</v>
      </c>
      <c r="I51" s="1">
        <v>45178</v>
      </c>
      <c r="J51" s="3">
        <v>41795.15</v>
      </c>
      <c r="K51" s="4">
        <f t="shared" si="0"/>
        <v>23</v>
      </c>
      <c r="L51" t="str">
        <f t="shared" si="1"/>
        <v>Aug</v>
      </c>
      <c r="M51">
        <f t="shared" si="2"/>
        <v>2023</v>
      </c>
      <c r="N51">
        <f t="shared" si="3"/>
        <v>79</v>
      </c>
    </row>
    <row r="52" spans="1:14" x14ac:dyDescent="0.3">
      <c r="A52" t="s">
        <v>138</v>
      </c>
      <c r="B52" t="s">
        <v>139</v>
      </c>
      <c r="C52" s="1">
        <v>43183</v>
      </c>
      <c r="D52" t="s">
        <v>15</v>
      </c>
      <c r="E52" t="s">
        <v>16</v>
      </c>
      <c r="F52" t="s">
        <v>22</v>
      </c>
      <c r="G52" t="s">
        <v>35</v>
      </c>
      <c r="H52" s="1">
        <v>45318</v>
      </c>
      <c r="I52" s="1">
        <v>45321</v>
      </c>
      <c r="J52" s="3">
        <v>41311.870000000003</v>
      </c>
      <c r="K52" s="4">
        <f t="shared" si="0"/>
        <v>3</v>
      </c>
      <c r="L52" t="str">
        <f t="shared" si="1"/>
        <v>Jan</v>
      </c>
      <c r="M52">
        <f t="shared" si="2"/>
        <v>2024</v>
      </c>
      <c r="N52">
        <f t="shared" si="3"/>
        <v>5</v>
      </c>
    </row>
    <row r="53" spans="1:14" x14ac:dyDescent="0.3">
      <c r="A53" t="s">
        <v>140</v>
      </c>
      <c r="B53" t="s">
        <v>141</v>
      </c>
      <c r="C53" s="1">
        <v>17727</v>
      </c>
      <c r="D53" t="s">
        <v>21</v>
      </c>
      <c r="E53" t="s">
        <v>79</v>
      </c>
      <c r="F53" t="s">
        <v>91</v>
      </c>
      <c r="G53" t="s">
        <v>81</v>
      </c>
      <c r="H53" s="1">
        <v>44437</v>
      </c>
      <c r="I53" s="1">
        <v>44450</v>
      </c>
      <c r="J53" s="3">
        <v>40700.44</v>
      </c>
      <c r="K53" s="4">
        <f t="shared" si="0"/>
        <v>13</v>
      </c>
      <c r="L53" t="str">
        <f t="shared" si="1"/>
        <v>Aug</v>
      </c>
      <c r="M53">
        <f t="shared" si="2"/>
        <v>2021</v>
      </c>
      <c r="N53">
        <f t="shared" si="3"/>
        <v>73</v>
      </c>
    </row>
    <row r="54" spans="1:14" x14ac:dyDescent="0.3">
      <c r="A54" t="s">
        <v>142</v>
      </c>
      <c r="B54" t="s">
        <v>143</v>
      </c>
      <c r="C54" s="1">
        <v>33753</v>
      </c>
      <c r="D54" t="s">
        <v>21</v>
      </c>
      <c r="E54" t="s">
        <v>72</v>
      </c>
      <c r="F54" t="s">
        <v>84</v>
      </c>
      <c r="G54" t="s">
        <v>88</v>
      </c>
      <c r="H54" s="1">
        <v>44555</v>
      </c>
      <c r="I54" s="1">
        <v>44581</v>
      </c>
      <c r="J54" s="3">
        <v>40665.660000000003</v>
      </c>
      <c r="K54" s="4">
        <f t="shared" si="0"/>
        <v>26</v>
      </c>
      <c r="L54" t="str">
        <f t="shared" si="1"/>
        <v>Dec</v>
      </c>
      <c r="M54">
        <f t="shared" si="2"/>
        <v>2021</v>
      </c>
      <c r="N54">
        <f t="shared" si="3"/>
        <v>29</v>
      </c>
    </row>
    <row r="55" spans="1:14" x14ac:dyDescent="0.3">
      <c r="A55" t="s">
        <v>144</v>
      </c>
      <c r="B55" t="s">
        <v>145</v>
      </c>
      <c r="C55" s="1">
        <v>37175</v>
      </c>
      <c r="D55" t="s">
        <v>15</v>
      </c>
      <c r="E55" t="s">
        <v>16</v>
      </c>
      <c r="F55" t="s">
        <v>22</v>
      </c>
      <c r="G55" t="s">
        <v>18</v>
      </c>
      <c r="H55" s="1">
        <v>44810</v>
      </c>
      <c r="I55" s="1">
        <v>44815</v>
      </c>
      <c r="J55" s="3">
        <v>38930.03</v>
      </c>
      <c r="K55" s="4">
        <f t="shared" si="0"/>
        <v>5</v>
      </c>
      <c r="L55" t="str">
        <f t="shared" si="1"/>
        <v>Sep</v>
      </c>
      <c r="M55">
        <f t="shared" si="2"/>
        <v>2022</v>
      </c>
      <c r="N55">
        <f t="shared" si="3"/>
        <v>20</v>
      </c>
    </row>
    <row r="56" spans="1:14" x14ac:dyDescent="0.3">
      <c r="A56" t="s">
        <v>146</v>
      </c>
      <c r="B56" t="s">
        <v>147</v>
      </c>
      <c r="C56" s="1">
        <v>31997</v>
      </c>
      <c r="D56" t="s">
        <v>21</v>
      </c>
      <c r="E56" t="s">
        <v>72</v>
      </c>
      <c r="F56" t="s">
        <v>84</v>
      </c>
      <c r="G56" t="s">
        <v>88</v>
      </c>
      <c r="H56" s="1">
        <v>44656</v>
      </c>
      <c r="I56" s="1">
        <v>44669</v>
      </c>
      <c r="J56" s="3">
        <v>38683.82</v>
      </c>
      <c r="K56" s="4">
        <f t="shared" si="0"/>
        <v>13</v>
      </c>
      <c r="L56" t="str">
        <f t="shared" si="1"/>
        <v>Apr</v>
      </c>
      <c r="M56">
        <f t="shared" si="2"/>
        <v>2022</v>
      </c>
      <c r="N56">
        <f t="shared" si="3"/>
        <v>34</v>
      </c>
    </row>
    <row r="57" spans="1:14" x14ac:dyDescent="0.3">
      <c r="A57" t="s">
        <v>148</v>
      </c>
      <c r="B57" t="s">
        <v>149</v>
      </c>
      <c r="C57" s="1">
        <v>34496</v>
      </c>
      <c r="D57" t="s">
        <v>21</v>
      </c>
      <c r="E57" t="s">
        <v>72</v>
      </c>
      <c r="F57" t="s">
        <v>17</v>
      </c>
      <c r="G57" t="s">
        <v>73</v>
      </c>
      <c r="H57" s="1">
        <v>44620</v>
      </c>
      <c r="I57" s="1">
        <v>44644</v>
      </c>
      <c r="J57" s="3">
        <v>38081.11</v>
      </c>
      <c r="K57" s="4">
        <f t="shared" si="0"/>
        <v>24</v>
      </c>
      <c r="L57" t="str">
        <f t="shared" si="1"/>
        <v>Feb</v>
      </c>
      <c r="M57">
        <f t="shared" si="2"/>
        <v>2022</v>
      </c>
      <c r="N57">
        <f t="shared" si="3"/>
        <v>27</v>
      </c>
    </row>
    <row r="58" spans="1:14" x14ac:dyDescent="0.3">
      <c r="A58" t="s">
        <v>150</v>
      </c>
      <c r="B58" t="s">
        <v>151</v>
      </c>
      <c r="C58" s="1">
        <v>36132</v>
      </c>
      <c r="D58" t="s">
        <v>21</v>
      </c>
      <c r="E58" t="s">
        <v>79</v>
      </c>
      <c r="F58" t="s">
        <v>91</v>
      </c>
      <c r="G58" t="s">
        <v>81</v>
      </c>
      <c r="H58" s="1">
        <v>44908</v>
      </c>
      <c r="I58" s="1">
        <v>44916</v>
      </c>
      <c r="J58" s="3">
        <v>37573.120000000003</v>
      </c>
      <c r="K58" s="4">
        <f t="shared" si="0"/>
        <v>8</v>
      </c>
      <c r="L58" t="str">
        <f t="shared" si="1"/>
        <v>Dec</v>
      </c>
      <c r="M58">
        <f t="shared" si="2"/>
        <v>2022</v>
      </c>
      <c r="N58">
        <f t="shared" si="3"/>
        <v>24</v>
      </c>
    </row>
    <row r="59" spans="1:14" x14ac:dyDescent="0.3">
      <c r="A59" t="s">
        <v>152</v>
      </c>
      <c r="B59" t="s">
        <v>153</v>
      </c>
      <c r="C59" s="1">
        <v>22159</v>
      </c>
      <c r="D59" t="s">
        <v>21</v>
      </c>
      <c r="E59" t="s">
        <v>72</v>
      </c>
      <c r="F59" t="s">
        <v>84</v>
      </c>
      <c r="G59" t="s">
        <v>73</v>
      </c>
      <c r="H59" s="1">
        <v>45179</v>
      </c>
      <c r="I59" s="1">
        <v>45197</v>
      </c>
      <c r="J59" s="3">
        <v>37523.1</v>
      </c>
      <c r="K59" s="4">
        <f t="shared" si="0"/>
        <v>18</v>
      </c>
      <c r="L59" t="str">
        <f t="shared" si="1"/>
        <v>Sep</v>
      </c>
      <c r="M59">
        <f t="shared" si="2"/>
        <v>2023</v>
      </c>
      <c r="N59">
        <f t="shared" si="3"/>
        <v>63</v>
      </c>
    </row>
    <row r="60" spans="1:14" x14ac:dyDescent="0.3">
      <c r="A60" t="s">
        <v>154</v>
      </c>
      <c r="B60" t="s">
        <v>155</v>
      </c>
      <c r="C60" s="1">
        <v>15982</v>
      </c>
      <c r="D60" t="s">
        <v>21</v>
      </c>
      <c r="E60" t="s">
        <v>16</v>
      </c>
      <c r="F60" t="s">
        <v>25</v>
      </c>
      <c r="G60" t="s">
        <v>35</v>
      </c>
      <c r="H60" s="1">
        <v>44435</v>
      </c>
      <c r="I60" s="1">
        <v>44455</v>
      </c>
      <c r="J60" s="3">
        <v>37508</v>
      </c>
      <c r="K60" s="4">
        <f t="shared" si="0"/>
        <v>20</v>
      </c>
      <c r="L60" t="str">
        <f t="shared" si="1"/>
        <v>Aug</v>
      </c>
      <c r="M60">
        <f t="shared" si="2"/>
        <v>2021</v>
      </c>
      <c r="N60">
        <f t="shared" si="3"/>
        <v>77</v>
      </c>
    </row>
    <row r="61" spans="1:14" x14ac:dyDescent="0.3">
      <c r="A61" t="s">
        <v>156</v>
      </c>
      <c r="B61" t="s">
        <v>157</v>
      </c>
      <c r="C61" s="1">
        <v>32193</v>
      </c>
      <c r="D61" t="s">
        <v>15</v>
      </c>
      <c r="E61" t="s">
        <v>2145</v>
      </c>
      <c r="F61" t="s">
        <v>84</v>
      </c>
      <c r="G61" t="s">
        <v>69</v>
      </c>
      <c r="H61" s="1">
        <v>44843</v>
      </c>
      <c r="I61" s="1">
        <v>44848</v>
      </c>
      <c r="J61" s="3">
        <v>36614.949999999997</v>
      </c>
      <c r="K61" s="4">
        <f t="shared" si="0"/>
        <v>5</v>
      </c>
      <c r="L61" t="str">
        <f t="shared" si="1"/>
        <v>Oct</v>
      </c>
      <c r="M61">
        <f t="shared" si="2"/>
        <v>2022</v>
      </c>
      <c r="N61">
        <f t="shared" si="3"/>
        <v>34</v>
      </c>
    </row>
    <row r="62" spans="1:14" x14ac:dyDescent="0.3">
      <c r="A62" t="s">
        <v>158</v>
      </c>
      <c r="B62" t="s">
        <v>159</v>
      </c>
      <c r="C62" s="1">
        <v>41133</v>
      </c>
      <c r="D62" t="s">
        <v>21</v>
      </c>
      <c r="E62" t="s">
        <v>16</v>
      </c>
      <c r="F62" t="s">
        <v>17</v>
      </c>
      <c r="G62" t="s">
        <v>35</v>
      </c>
      <c r="H62" s="1">
        <v>45214</v>
      </c>
      <c r="I62" s="1">
        <v>45240</v>
      </c>
      <c r="J62" s="3">
        <v>36435.730000000003</v>
      </c>
      <c r="K62" s="4">
        <f t="shared" si="0"/>
        <v>26</v>
      </c>
      <c r="L62" t="str">
        <f t="shared" si="1"/>
        <v>Oct</v>
      </c>
      <c r="M62">
        <f t="shared" si="2"/>
        <v>2023</v>
      </c>
      <c r="N62">
        <f t="shared" si="3"/>
        <v>11</v>
      </c>
    </row>
    <row r="63" spans="1:14" x14ac:dyDescent="0.3">
      <c r="A63" t="s">
        <v>160</v>
      </c>
      <c r="B63" t="s">
        <v>161</v>
      </c>
      <c r="C63" s="1">
        <v>42046</v>
      </c>
      <c r="D63" t="s">
        <v>15</v>
      </c>
      <c r="E63" t="s">
        <v>72</v>
      </c>
      <c r="F63" t="s">
        <v>17</v>
      </c>
      <c r="G63" t="s">
        <v>76</v>
      </c>
      <c r="H63" s="1">
        <v>44678</v>
      </c>
      <c r="I63" s="1">
        <v>44689</v>
      </c>
      <c r="J63" s="3">
        <v>36384.39</v>
      </c>
      <c r="K63" s="4">
        <f t="shared" si="0"/>
        <v>11</v>
      </c>
      <c r="L63" t="str">
        <f t="shared" si="1"/>
        <v>Apr</v>
      </c>
      <c r="M63">
        <f t="shared" si="2"/>
        <v>2022</v>
      </c>
      <c r="N63">
        <f t="shared" si="3"/>
        <v>7</v>
      </c>
    </row>
    <row r="64" spans="1:14" x14ac:dyDescent="0.3">
      <c r="A64" t="s">
        <v>162</v>
      </c>
      <c r="B64" t="s">
        <v>163</v>
      </c>
      <c r="C64" s="1">
        <v>33988</v>
      </c>
      <c r="D64" t="s">
        <v>15</v>
      </c>
      <c r="E64" t="s">
        <v>16</v>
      </c>
      <c r="F64" t="s">
        <v>22</v>
      </c>
      <c r="G64" t="s">
        <v>35</v>
      </c>
      <c r="H64" s="1">
        <v>45356</v>
      </c>
      <c r="I64" s="1">
        <v>45376</v>
      </c>
      <c r="J64" s="3">
        <v>36285.18</v>
      </c>
      <c r="K64" s="4">
        <f t="shared" si="0"/>
        <v>20</v>
      </c>
      <c r="L64" t="str">
        <f t="shared" si="1"/>
        <v>Mar</v>
      </c>
      <c r="M64">
        <f t="shared" si="2"/>
        <v>2024</v>
      </c>
      <c r="N64">
        <f t="shared" si="3"/>
        <v>31</v>
      </c>
    </row>
    <row r="65" spans="1:14" x14ac:dyDescent="0.3">
      <c r="A65" t="s">
        <v>164</v>
      </c>
      <c r="B65" t="s">
        <v>165</v>
      </c>
      <c r="C65" s="1">
        <v>44056</v>
      </c>
      <c r="D65" t="s">
        <v>21</v>
      </c>
      <c r="E65" t="s">
        <v>2145</v>
      </c>
      <c r="F65" t="s">
        <v>68</v>
      </c>
      <c r="G65" t="s">
        <v>85</v>
      </c>
      <c r="H65" s="1">
        <v>44846</v>
      </c>
      <c r="I65" s="1">
        <v>44860</v>
      </c>
      <c r="J65" s="3">
        <v>36044.839999999997</v>
      </c>
      <c r="K65" s="4">
        <f t="shared" si="0"/>
        <v>14</v>
      </c>
      <c r="L65" t="str">
        <f t="shared" si="1"/>
        <v>Oct</v>
      </c>
      <c r="M65">
        <f t="shared" si="2"/>
        <v>2022</v>
      </c>
      <c r="N65">
        <f t="shared" si="3"/>
        <v>2</v>
      </c>
    </row>
    <row r="66" spans="1:14" x14ac:dyDescent="0.3">
      <c r="A66" t="s">
        <v>166</v>
      </c>
      <c r="B66" t="s">
        <v>167</v>
      </c>
      <c r="C66" s="1">
        <v>23381</v>
      </c>
      <c r="D66" t="s">
        <v>15</v>
      </c>
      <c r="E66" t="s">
        <v>2145</v>
      </c>
      <c r="F66" t="s">
        <v>84</v>
      </c>
      <c r="G66" t="s">
        <v>69</v>
      </c>
      <c r="H66" s="1">
        <v>44660</v>
      </c>
      <c r="I66" s="1">
        <v>44669</v>
      </c>
      <c r="J66" s="3">
        <v>35988.6</v>
      </c>
      <c r="K66" s="4">
        <f t="shared" si="0"/>
        <v>9</v>
      </c>
      <c r="L66" t="str">
        <f t="shared" si="1"/>
        <v>Apr</v>
      </c>
      <c r="M66">
        <f t="shared" si="2"/>
        <v>2022</v>
      </c>
      <c r="N66">
        <f t="shared" si="3"/>
        <v>58</v>
      </c>
    </row>
    <row r="67" spans="1:14" x14ac:dyDescent="0.3">
      <c r="A67" t="s">
        <v>168</v>
      </c>
      <c r="B67" t="s">
        <v>169</v>
      </c>
      <c r="C67" s="1">
        <v>29827</v>
      </c>
      <c r="D67" t="s">
        <v>21</v>
      </c>
      <c r="E67" t="s">
        <v>16</v>
      </c>
      <c r="F67" t="s">
        <v>25</v>
      </c>
      <c r="G67" t="s">
        <v>35</v>
      </c>
      <c r="H67" s="1">
        <v>45181</v>
      </c>
      <c r="I67" s="1">
        <v>45192</v>
      </c>
      <c r="J67" s="3">
        <v>34893.279999999999</v>
      </c>
      <c r="K67" s="4">
        <f t="shared" ref="K67:K91" si="4" xml:space="preserve"> I67-H67</f>
        <v>11</v>
      </c>
      <c r="L67" t="str">
        <f t="shared" ref="L67:L113" si="5">TEXT(H67,"mmm")</f>
        <v>Sep</v>
      </c>
      <c r="M67">
        <f t="shared" ref="M67:M127" si="6">YEAR(H67)</f>
        <v>2023</v>
      </c>
      <c r="N67">
        <f t="shared" ref="N67:N127" si="7">DATEDIF(C67, H67, "Y")</f>
        <v>42</v>
      </c>
    </row>
    <row r="68" spans="1:14" x14ac:dyDescent="0.3">
      <c r="A68" t="s">
        <v>170</v>
      </c>
      <c r="B68" t="s">
        <v>171</v>
      </c>
      <c r="C68" s="1">
        <v>18216</v>
      </c>
      <c r="D68" t="s">
        <v>21</v>
      </c>
      <c r="E68" t="s">
        <v>79</v>
      </c>
      <c r="F68" t="s">
        <v>91</v>
      </c>
      <c r="G68" t="s">
        <v>117</v>
      </c>
      <c r="H68" s="1">
        <v>44735</v>
      </c>
      <c r="I68" s="1">
        <v>44737</v>
      </c>
      <c r="J68" s="3">
        <v>34717.78</v>
      </c>
      <c r="K68" s="4">
        <f t="shared" si="4"/>
        <v>2</v>
      </c>
      <c r="L68" t="str">
        <f t="shared" si="5"/>
        <v>Jun</v>
      </c>
      <c r="M68">
        <f t="shared" si="6"/>
        <v>2022</v>
      </c>
      <c r="N68">
        <f t="shared" si="7"/>
        <v>72</v>
      </c>
    </row>
    <row r="69" spans="1:14" x14ac:dyDescent="0.3">
      <c r="A69" t="s">
        <v>172</v>
      </c>
      <c r="B69" t="s">
        <v>173</v>
      </c>
      <c r="C69" s="1">
        <v>29370</v>
      </c>
      <c r="D69" t="s">
        <v>21</v>
      </c>
      <c r="E69" t="s">
        <v>72</v>
      </c>
      <c r="F69" t="s">
        <v>84</v>
      </c>
      <c r="G69" t="s">
        <v>76</v>
      </c>
      <c r="H69" s="1">
        <v>44881</v>
      </c>
      <c r="I69" s="1">
        <v>44897</v>
      </c>
      <c r="J69" s="3">
        <v>33776.47</v>
      </c>
      <c r="K69" s="4">
        <f t="shared" si="4"/>
        <v>16</v>
      </c>
      <c r="L69" t="str">
        <f t="shared" si="5"/>
        <v>Nov</v>
      </c>
      <c r="M69">
        <f t="shared" si="6"/>
        <v>2022</v>
      </c>
      <c r="N69">
        <f t="shared" si="7"/>
        <v>42</v>
      </c>
    </row>
    <row r="70" spans="1:14" x14ac:dyDescent="0.3">
      <c r="A70" t="s">
        <v>174</v>
      </c>
      <c r="B70" t="s">
        <v>175</v>
      </c>
      <c r="C70" s="1">
        <v>37728</v>
      </c>
      <c r="D70" t="s">
        <v>15</v>
      </c>
      <c r="E70" t="s">
        <v>2145</v>
      </c>
      <c r="F70" t="s">
        <v>68</v>
      </c>
      <c r="G70" t="s">
        <v>69</v>
      </c>
      <c r="H70" s="1">
        <v>45010</v>
      </c>
      <c r="I70" s="1">
        <v>45030</v>
      </c>
      <c r="J70" s="3">
        <v>33619.279999999999</v>
      </c>
      <c r="K70" s="4">
        <f t="shared" si="4"/>
        <v>20</v>
      </c>
      <c r="L70" t="str">
        <f t="shared" si="5"/>
        <v>Mar</v>
      </c>
      <c r="M70">
        <f t="shared" si="6"/>
        <v>2023</v>
      </c>
      <c r="N70">
        <f t="shared" si="7"/>
        <v>19</v>
      </c>
    </row>
    <row r="71" spans="1:14" x14ac:dyDescent="0.3">
      <c r="A71" t="s">
        <v>176</v>
      </c>
      <c r="B71" t="s">
        <v>177</v>
      </c>
      <c r="C71" s="1">
        <v>26573</v>
      </c>
      <c r="D71" t="s">
        <v>21</v>
      </c>
      <c r="E71" t="s">
        <v>79</v>
      </c>
      <c r="F71" t="s">
        <v>80</v>
      </c>
      <c r="G71" t="s">
        <v>81</v>
      </c>
      <c r="H71" s="1">
        <v>45124</v>
      </c>
      <c r="I71" s="1">
        <v>45130</v>
      </c>
      <c r="J71" s="3">
        <v>32996.03</v>
      </c>
      <c r="K71" s="4">
        <f t="shared" si="4"/>
        <v>6</v>
      </c>
      <c r="L71" t="str">
        <f t="shared" si="5"/>
        <v>Jul</v>
      </c>
      <c r="M71">
        <f t="shared" si="6"/>
        <v>2023</v>
      </c>
      <c r="N71">
        <f t="shared" si="7"/>
        <v>50</v>
      </c>
    </row>
    <row r="72" spans="1:14" x14ac:dyDescent="0.3">
      <c r="A72" t="s">
        <v>178</v>
      </c>
      <c r="B72" t="s">
        <v>179</v>
      </c>
      <c r="C72" s="1">
        <v>34027</v>
      </c>
      <c r="D72" t="s">
        <v>21</v>
      </c>
      <c r="E72" t="s">
        <v>72</v>
      </c>
      <c r="F72" t="s">
        <v>17</v>
      </c>
      <c r="G72" t="s">
        <v>73</v>
      </c>
      <c r="H72" s="1">
        <v>44699</v>
      </c>
      <c r="I72" s="1">
        <v>44711</v>
      </c>
      <c r="J72" s="3">
        <v>31356.48</v>
      </c>
      <c r="K72" s="4">
        <f t="shared" si="4"/>
        <v>12</v>
      </c>
      <c r="L72" t="str">
        <f t="shared" si="5"/>
        <v>May</v>
      </c>
      <c r="M72">
        <f t="shared" si="6"/>
        <v>2022</v>
      </c>
      <c r="N72">
        <f t="shared" si="7"/>
        <v>29</v>
      </c>
    </row>
    <row r="73" spans="1:14" x14ac:dyDescent="0.3">
      <c r="A73" t="s">
        <v>180</v>
      </c>
      <c r="B73" t="s">
        <v>181</v>
      </c>
      <c r="C73" s="1">
        <v>22389</v>
      </c>
      <c r="D73" t="s">
        <v>15</v>
      </c>
      <c r="E73" t="s">
        <v>16</v>
      </c>
      <c r="F73" t="s">
        <v>25</v>
      </c>
      <c r="G73" t="s">
        <v>18</v>
      </c>
      <c r="H73" s="1">
        <v>44509</v>
      </c>
      <c r="I73" s="1">
        <v>44530</v>
      </c>
      <c r="J73" s="3">
        <v>31172.92</v>
      </c>
      <c r="K73" s="4">
        <f t="shared" si="4"/>
        <v>21</v>
      </c>
      <c r="L73" t="str">
        <f t="shared" si="5"/>
        <v>Nov</v>
      </c>
      <c r="M73">
        <f t="shared" si="6"/>
        <v>2021</v>
      </c>
      <c r="N73">
        <f t="shared" si="7"/>
        <v>60</v>
      </c>
    </row>
    <row r="74" spans="1:14" x14ac:dyDescent="0.3">
      <c r="A74" t="s">
        <v>182</v>
      </c>
      <c r="B74" t="s">
        <v>183</v>
      </c>
      <c r="C74" s="1">
        <v>33688</v>
      </c>
      <c r="D74" t="s">
        <v>21</v>
      </c>
      <c r="E74" t="s">
        <v>72</v>
      </c>
      <c r="F74" t="s">
        <v>84</v>
      </c>
      <c r="G74" t="s">
        <v>76</v>
      </c>
      <c r="H74" s="1">
        <v>45414</v>
      </c>
      <c r="I74" s="1">
        <v>45425</v>
      </c>
      <c r="J74" s="3">
        <v>31097.55</v>
      </c>
      <c r="K74" s="4">
        <f t="shared" si="4"/>
        <v>11</v>
      </c>
      <c r="L74" t="str">
        <f t="shared" si="5"/>
        <v>May</v>
      </c>
      <c r="M74">
        <f t="shared" si="6"/>
        <v>2024</v>
      </c>
      <c r="N74">
        <f t="shared" si="7"/>
        <v>32</v>
      </c>
    </row>
    <row r="75" spans="1:14" x14ac:dyDescent="0.3">
      <c r="A75" t="s">
        <v>184</v>
      </c>
      <c r="B75" t="s">
        <v>185</v>
      </c>
      <c r="C75" s="1">
        <v>18479</v>
      </c>
      <c r="D75" t="s">
        <v>15</v>
      </c>
      <c r="E75" t="s">
        <v>72</v>
      </c>
      <c r="F75" t="s">
        <v>84</v>
      </c>
      <c r="G75" t="s">
        <v>73</v>
      </c>
      <c r="H75" s="1">
        <v>44718</v>
      </c>
      <c r="I75" s="1">
        <v>44723</v>
      </c>
      <c r="J75" s="3">
        <v>30759.48</v>
      </c>
      <c r="K75" s="4">
        <f t="shared" si="4"/>
        <v>5</v>
      </c>
      <c r="L75" t="str">
        <f t="shared" si="5"/>
        <v>Jun</v>
      </c>
      <c r="M75">
        <f t="shared" si="6"/>
        <v>2022</v>
      </c>
      <c r="N75">
        <f t="shared" si="7"/>
        <v>71</v>
      </c>
    </row>
    <row r="76" spans="1:14" x14ac:dyDescent="0.3">
      <c r="A76" t="s">
        <v>186</v>
      </c>
      <c r="B76" t="s">
        <v>187</v>
      </c>
      <c r="C76" s="1">
        <v>16862</v>
      </c>
      <c r="D76" t="s">
        <v>15</v>
      </c>
      <c r="E76" t="s">
        <v>79</v>
      </c>
      <c r="F76" t="s">
        <v>95</v>
      </c>
      <c r="G76" t="s">
        <v>117</v>
      </c>
      <c r="H76" s="1">
        <v>44651</v>
      </c>
      <c r="I76" s="1">
        <v>44678</v>
      </c>
      <c r="J76" s="3">
        <v>30261.06</v>
      </c>
      <c r="K76" s="4">
        <f t="shared" si="4"/>
        <v>27</v>
      </c>
      <c r="L76" t="str">
        <f t="shared" si="5"/>
        <v>Mar</v>
      </c>
      <c r="M76">
        <f t="shared" si="6"/>
        <v>2022</v>
      </c>
      <c r="N76">
        <f t="shared" si="7"/>
        <v>76</v>
      </c>
    </row>
    <row r="77" spans="1:14" x14ac:dyDescent="0.3">
      <c r="A77" t="s">
        <v>188</v>
      </c>
      <c r="B77" t="s">
        <v>189</v>
      </c>
      <c r="C77" s="1">
        <v>13807</v>
      </c>
      <c r="D77" t="s">
        <v>21</v>
      </c>
      <c r="E77" t="s">
        <v>190</v>
      </c>
      <c r="F77" t="s">
        <v>191</v>
      </c>
      <c r="G77" t="s">
        <v>192</v>
      </c>
      <c r="H77" s="1">
        <v>44440</v>
      </c>
      <c r="I77" s="1">
        <v>44448</v>
      </c>
      <c r="J77" s="3">
        <v>29750.22</v>
      </c>
      <c r="K77" s="4">
        <f t="shared" si="4"/>
        <v>8</v>
      </c>
      <c r="L77" t="str">
        <f t="shared" si="5"/>
        <v>Sep</v>
      </c>
      <c r="M77">
        <f t="shared" si="6"/>
        <v>2021</v>
      </c>
      <c r="N77">
        <f t="shared" si="7"/>
        <v>83</v>
      </c>
    </row>
    <row r="78" spans="1:14" x14ac:dyDescent="0.3">
      <c r="A78" t="s">
        <v>193</v>
      </c>
      <c r="B78" t="s">
        <v>194</v>
      </c>
      <c r="C78" s="1">
        <v>9270</v>
      </c>
      <c r="D78" t="s">
        <v>15</v>
      </c>
      <c r="E78" t="s">
        <v>190</v>
      </c>
      <c r="F78" t="s">
        <v>195</v>
      </c>
      <c r="G78" t="s">
        <v>192</v>
      </c>
      <c r="H78" s="1">
        <v>44809</v>
      </c>
      <c r="I78" s="1">
        <v>44823</v>
      </c>
      <c r="J78" s="3">
        <v>29711.34</v>
      </c>
      <c r="K78" s="4">
        <f t="shared" si="4"/>
        <v>14</v>
      </c>
      <c r="L78" t="str">
        <f t="shared" si="5"/>
        <v>Sep</v>
      </c>
      <c r="M78">
        <f t="shared" si="6"/>
        <v>2022</v>
      </c>
      <c r="N78">
        <f t="shared" si="7"/>
        <v>97</v>
      </c>
    </row>
    <row r="79" spans="1:14" x14ac:dyDescent="0.3">
      <c r="A79" t="s">
        <v>196</v>
      </c>
      <c r="B79" t="s">
        <v>197</v>
      </c>
      <c r="C79" s="1">
        <v>19136</v>
      </c>
      <c r="D79" t="s">
        <v>21</v>
      </c>
      <c r="E79" t="s">
        <v>72</v>
      </c>
      <c r="F79" t="s">
        <v>17</v>
      </c>
      <c r="G79" t="s">
        <v>88</v>
      </c>
      <c r="H79" s="1">
        <v>44685</v>
      </c>
      <c r="I79" s="1">
        <v>44696</v>
      </c>
      <c r="J79" s="3">
        <v>29504.83</v>
      </c>
      <c r="K79" s="4">
        <f t="shared" si="4"/>
        <v>11</v>
      </c>
      <c r="L79" t="str">
        <f t="shared" si="5"/>
        <v>May</v>
      </c>
      <c r="M79">
        <f t="shared" si="6"/>
        <v>2022</v>
      </c>
      <c r="N79">
        <f t="shared" si="7"/>
        <v>69</v>
      </c>
    </row>
    <row r="80" spans="1:14" x14ac:dyDescent="0.3">
      <c r="A80" t="s">
        <v>198</v>
      </c>
      <c r="B80" t="s">
        <v>199</v>
      </c>
      <c r="C80" s="1">
        <v>43783</v>
      </c>
      <c r="D80" t="s">
        <v>21</v>
      </c>
      <c r="E80" t="s">
        <v>190</v>
      </c>
      <c r="F80" t="s">
        <v>191</v>
      </c>
      <c r="G80" t="s">
        <v>200</v>
      </c>
      <c r="H80" s="1">
        <v>44679</v>
      </c>
      <c r="I80" s="1">
        <v>44682</v>
      </c>
      <c r="J80" s="3">
        <v>29328.45</v>
      </c>
      <c r="K80" s="4">
        <f t="shared" si="4"/>
        <v>3</v>
      </c>
      <c r="L80" t="str">
        <f t="shared" si="5"/>
        <v>Apr</v>
      </c>
      <c r="M80">
        <f t="shared" si="6"/>
        <v>2022</v>
      </c>
      <c r="N80">
        <f t="shared" si="7"/>
        <v>2</v>
      </c>
    </row>
    <row r="81" spans="1:14" x14ac:dyDescent="0.3">
      <c r="A81" t="s">
        <v>201</v>
      </c>
      <c r="B81" t="s">
        <v>202</v>
      </c>
      <c r="C81" s="1">
        <v>13823</v>
      </c>
      <c r="D81" t="s">
        <v>21</v>
      </c>
      <c r="E81" t="s">
        <v>2145</v>
      </c>
      <c r="F81" t="s">
        <v>84</v>
      </c>
      <c r="G81" t="s">
        <v>110</v>
      </c>
      <c r="H81" s="1">
        <v>45195</v>
      </c>
      <c r="I81" s="1">
        <v>45199</v>
      </c>
      <c r="J81" s="3">
        <v>29149.16</v>
      </c>
      <c r="K81" s="4">
        <f t="shared" si="4"/>
        <v>4</v>
      </c>
      <c r="L81" t="str">
        <f t="shared" si="5"/>
        <v>Sep</v>
      </c>
      <c r="M81">
        <f t="shared" si="6"/>
        <v>2023</v>
      </c>
      <c r="N81">
        <f t="shared" si="7"/>
        <v>85</v>
      </c>
    </row>
    <row r="82" spans="1:14" x14ac:dyDescent="0.3">
      <c r="A82" t="s">
        <v>203</v>
      </c>
      <c r="B82" t="s">
        <v>204</v>
      </c>
      <c r="C82" s="1">
        <v>28109</v>
      </c>
      <c r="D82" t="s">
        <v>15</v>
      </c>
      <c r="E82" t="s">
        <v>190</v>
      </c>
      <c r="F82" t="s">
        <v>191</v>
      </c>
      <c r="G82" t="s">
        <v>200</v>
      </c>
      <c r="H82" s="1">
        <v>44936</v>
      </c>
      <c r="I82" s="1">
        <v>44949</v>
      </c>
      <c r="J82" s="3">
        <v>27427.05</v>
      </c>
      <c r="K82" s="4">
        <f t="shared" si="4"/>
        <v>13</v>
      </c>
      <c r="L82" t="str">
        <f t="shared" si="5"/>
        <v>Jan</v>
      </c>
      <c r="M82">
        <f t="shared" si="6"/>
        <v>2023</v>
      </c>
      <c r="N82">
        <f t="shared" si="7"/>
        <v>46</v>
      </c>
    </row>
    <row r="83" spans="1:14" x14ac:dyDescent="0.3">
      <c r="A83" t="s">
        <v>205</v>
      </c>
      <c r="B83" t="s">
        <v>206</v>
      </c>
      <c r="C83" s="1">
        <v>43049</v>
      </c>
      <c r="D83" t="s">
        <v>21</v>
      </c>
      <c r="E83" t="s">
        <v>190</v>
      </c>
      <c r="F83" t="s">
        <v>195</v>
      </c>
      <c r="G83" t="s">
        <v>192</v>
      </c>
      <c r="H83" s="1">
        <v>44998</v>
      </c>
      <c r="I83" s="1">
        <v>45024</v>
      </c>
      <c r="J83" s="3">
        <v>27369.8</v>
      </c>
      <c r="K83" s="4">
        <f t="shared" si="4"/>
        <v>26</v>
      </c>
      <c r="L83" t="str">
        <f t="shared" si="5"/>
        <v>Mar</v>
      </c>
      <c r="M83">
        <f t="shared" si="6"/>
        <v>2023</v>
      </c>
      <c r="N83">
        <f t="shared" si="7"/>
        <v>5</v>
      </c>
    </row>
    <row r="84" spans="1:14" x14ac:dyDescent="0.3">
      <c r="A84" t="s">
        <v>207</v>
      </c>
      <c r="B84" t="s">
        <v>208</v>
      </c>
      <c r="C84" s="1">
        <v>44561</v>
      </c>
      <c r="D84" t="s">
        <v>15</v>
      </c>
      <c r="E84" t="s">
        <v>16</v>
      </c>
      <c r="F84" t="s">
        <v>25</v>
      </c>
      <c r="G84" t="s">
        <v>18</v>
      </c>
      <c r="H84" s="1">
        <v>44939</v>
      </c>
      <c r="I84" s="1">
        <v>44960</v>
      </c>
      <c r="J84" s="3">
        <v>27129.74</v>
      </c>
      <c r="K84" s="4">
        <f t="shared" si="4"/>
        <v>21</v>
      </c>
      <c r="L84" t="str">
        <f t="shared" si="5"/>
        <v>Jan</v>
      </c>
      <c r="M84">
        <f t="shared" si="6"/>
        <v>2023</v>
      </c>
      <c r="N84">
        <f t="shared" si="7"/>
        <v>1</v>
      </c>
    </row>
    <row r="85" spans="1:14" x14ac:dyDescent="0.3">
      <c r="A85" t="s">
        <v>209</v>
      </c>
      <c r="B85" t="s">
        <v>210</v>
      </c>
      <c r="C85" s="1">
        <v>10056</v>
      </c>
      <c r="D85" t="s">
        <v>21</v>
      </c>
      <c r="E85" t="s">
        <v>190</v>
      </c>
      <c r="F85" t="s">
        <v>195</v>
      </c>
      <c r="G85" t="s">
        <v>200</v>
      </c>
      <c r="H85" s="1">
        <v>44881</v>
      </c>
      <c r="I85" s="1">
        <v>44896</v>
      </c>
      <c r="J85" s="3">
        <v>26937.94</v>
      </c>
      <c r="K85" s="4">
        <f t="shared" si="4"/>
        <v>15</v>
      </c>
      <c r="L85" t="str">
        <f t="shared" si="5"/>
        <v>Nov</v>
      </c>
      <c r="M85">
        <f t="shared" si="6"/>
        <v>2022</v>
      </c>
      <c r="N85">
        <f t="shared" si="7"/>
        <v>95</v>
      </c>
    </row>
    <row r="86" spans="1:14" x14ac:dyDescent="0.3">
      <c r="A86" t="s">
        <v>211</v>
      </c>
      <c r="B86" t="s">
        <v>212</v>
      </c>
      <c r="C86" s="1">
        <v>23269</v>
      </c>
      <c r="D86" t="s">
        <v>15</v>
      </c>
      <c r="E86" t="s">
        <v>72</v>
      </c>
      <c r="F86" t="s">
        <v>84</v>
      </c>
      <c r="G86" t="s">
        <v>73</v>
      </c>
      <c r="H86" s="1">
        <v>45314</v>
      </c>
      <c r="I86" s="1">
        <v>45332</v>
      </c>
      <c r="J86" s="3">
        <v>26531.87</v>
      </c>
      <c r="K86" s="4">
        <f t="shared" si="4"/>
        <v>18</v>
      </c>
      <c r="L86" t="str">
        <f t="shared" si="5"/>
        <v>Jan</v>
      </c>
      <c r="M86">
        <f t="shared" si="6"/>
        <v>2024</v>
      </c>
      <c r="N86">
        <f t="shared" si="7"/>
        <v>60</v>
      </c>
    </row>
    <row r="87" spans="1:14" x14ac:dyDescent="0.3">
      <c r="A87" t="s">
        <v>213</v>
      </c>
      <c r="B87" t="s">
        <v>214</v>
      </c>
      <c r="C87" s="1">
        <v>35264</v>
      </c>
      <c r="D87" t="s">
        <v>15</v>
      </c>
      <c r="E87" t="s">
        <v>190</v>
      </c>
      <c r="F87" t="s">
        <v>195</v>
      </c>
      <c r="G87" t="s">
        <v>200</v>
      </c>
      <c r="H87" s="1">
        <v>44795</v>
      </c>
      <c r="I87" s="1">
        <v>44824</v>
      </c>
      <c r="J87" s="3">
        <v>26123.79</v>
      </c>
      <c r="K87" s="4">
        <f t="shared" si="4"/>
        <v>29</v>
      </c>
      <c r="L87" t="str">
        <f t="shared" si="5"/>
        <v>Aug</v>
      </c>
      <c r="M87">
        <f t="shared" si="6"/>
        <v>2022</v>
      </c>
      <c r="N87">
        <f t="shared" si="7"/>
        <v>26</v>
      </c>
    </row>
    <row r="88" spans="1:14" x14ac:dyDescent="0.3">
      <c r="A88" t="s">
        <v>215</v>
      </c>
      <c r="B88" t="s">
        <v>216</v>
      </c>
      <c r="C88" s="1">
        <v>12486</v>
      </c>
      <c r="D88" t="s">
        <v>15</v>
      </c>
      <c r="E88" t="s">
        <v>72</v>
      </c>
      <c r="F88" t="s">
        <v>17</v>
      </c>
      <c r="G88" t="s">
        <v>88</v>
      </c>
      <c r="H88" s="1">
        <v>45334</v>
      </c>
      <c r="I88" s="1">
        <v>45351</v>
      </c>
      <c r="J88" s="3">
        <v>25848.39</v>
      </c>
      <c r="K88" s="4">
        <f t="shared" si="4"/>
        <v>17</v>
      </c>
      <c r="L88" t="str">
        <f t="shared" si="5"/>
        <v>Feb</v>
      </c>
      <c r="M88">
        <f t="shared" si="6"/>
        <v>2024</v>
      </c>
      <c r="N88">
        <f t="shared" si="7"/>
        <v>89</v>
      </c>
    </row>
    <row r="89" spans="1:14" x14ac:dyDescent="0.3">
      <c r="A89" t="s">
        <v>217</v>
      </c>
      <c r="B89" t="s">
        <v>218</v>
      </c>
      <c r="C89" s="1">
        <v>10507</v>
      </c>
      <c r="D89" t="s">
        <v>15</v>
      </c>
      <c r="E89" t="s">
        <v>190</v>
      </c>
      <c r="F89" t="s">
        <v>195</v>
      </c>
      <c r="G89" t="s">
        <v>192</v>
      </c>
      <c r="H89" s="1">
        <v>44521</v>
      </c>
      <c r="I89" s="1">
        <v>44529</v>
      </c>
      <c r="J89" s="3">
        <v>25720.59</v>
      </c>
      <c r="K89" s="4">
        <f t="shared" si="4"/>
        <v>8</v>
      </c>
      <c r="L89" t="str">
        <f t="shared" si="5"/>
        <v>Nov</v>
      </c>
      <c r="M89">
        <f t="shared" si="6"/>
        <v>2021</v>
      </c>
      <c r="N89">
        <f t="shared" si="7"/>
        <v>93</v>
      </c>
    </row>
    <row r="90" spans="1:14" x14ac:dyDescent="0.3">
      <c r="A90" t="s">
        <v>219</v>
      </c>
      <c r="B90" t="s">
        <v>220</v>
      </c>
      <c r="C90" s="1">
        <v>26562</v>
      </c>
      <c r="D90" t="s">
        <v>21</v>
      </c>
      <c r="E90" t="s">
        <v>16</v>
      </c>
      <c r="F90" t="s">
        <v>25</v>
      </c>
      <c r="G90" t="s">
        <v>26</v>
      </c>
      <c r="H90" s="1">
        <v>45415</v>
      </c>
      <c r="I90" s="1">
        <v>45419</v>
      </c>
      <c r="J90" s="3">
        <v>25362.31</v>
      </c>
      <c r="K90" s="4">
        <f t="shared" si="4"/>
        <v>4</v>
      </c>
      <c r="L90" t="str">
        <f t="shared" si="5"/>
        <v>May</v>
      </c>
      <c r="M90">
        <f t="shared" si="6"/>
        <v>2024</v>
      </c>
      <c r="N90">
        <f t="shared" si="7"/>
        <v>51</v>
      </c>
    </row>
    <row r="91" spans="1:14" x14ac:dyDescent="0.3">
      <c r="A91" t="s">
        <v>221</v>
      </c>
      <c r="B91" t="s">
        <v>222</v>
      </c>
      <c r="C91" s="1">
        <v>32927</v>
      </c>
      <c r="D91" t="s">
        <v>21</v>
      </c>
      <c r="E91" t="s">
        <v>72</v>
      </c>
      <c r="F91" t="s">
        <v>84</v>
      </c>
      <c r="G91" t="s">
        <v>88</v>
      </c>
      <c r="H91" s="1">
        <v>45097</v>
      </c>
      <c r="I91" s="1">
        <v>45106</v>
      </c>
      <c r="J91" s="3">
        <v>25230.01</v>
      </c>
      <c r="K91" s="4">
        <f t="shared" si="4"/>
        <v>9</v>
      </c>
      <c r="L91" t="str">
        <f t="shared" si="5"/>
        <v>Jun</v>
      </c>
      <c r="M91">
        <f t="shared" si="6"/>
        <v>2023</v>
      </c>
      <c r="N91">
        <f t="shared" si="7"/>
        <v>33</v>
      </c>
    </row>
    <row r="92" spans="1:14" x14ac:dyDescent="0.3">
      <c r="A92" t="s">
        <v>223</v>
      </c>
      <c r="B92" t="s">
        <v>224</v>
      </c>
      <c r="C92" s="1">
        <v>21071</v>
      </c>
      <c r="D92" t="s">
        <v>15</v>
      </c>
      <c r="E92" t="s">
        <v>79</v>
      </c>
      <c r="F92" t="s">
        <v>91</v>
      </c>
      <c r="G92" t="s">
        <v>81</v>
      </c>
      <c r="H92" s="1">
        <v>45427</v>
      </c>
      <c r="I92" s="1">
        <v>45434</v>
      </c>
      <c r="J92" s="3">
        <v>24247.81</v>
      </c>
      <c r="K92" s="4">
        <f xml:space="preserve"> I92-H92</f>
        <v>7</v>
      </c>
      <c r="L92" t="str">
        <f t="shared" si="5"/>
        <v>May</v>
      </c>
      <c r="M92">
        <f t="shared" si="6"/>
        <v>2024</v>
      </c>
      <c r="N92">
        <f t="shared" si="7"/>
        <v>66</v>
      </c>
    </row>
    <row r="93" spans="1:14" x14ac:dyDescent="0.3">
      <c r="A93" t="s">
        <v>225</v>
      </c>
      <c r="B93" t="s">
        <v>226</v>
      </c>
      <c r="C93" s="1">
        <v>43649</v>
      </c>
      <c r="D93" t="s">
        <v>15</v>
      </c>
      <c r="E93" t="s">
        <v>190</v>
      </c>
      <c r="F93" t="s">
        <v>191</v>
      </c>
      <c r="G93" t="s">
        <v>192</v>
      </c>
      <c r="H93" s="1">
        <v>44785</v>
      </c>
      <c r="I93" s="1">
        <v>44786</v>
      </c>
      <c r="J93" s="3">
        <v>24188.42</v>
      </c>
      <c r="K93" s="4">
        <f t="shared" ref="K93:K106" si="8" xml:space="preserve"> I93-H93</f>
        <v>1</v>
      </c>
      <c r="L93" t="str">
        <f t="shared" si="5"/>
        <v>Aug</v>
      </c>
      <c r="M93">
        <f t="shared" si="6"/>
        <v>2022</v>
      </c>
      <c r="N93">
        <f t="shared" si="7"/>
        <v>3</v>
      </c>
    </row>
    <row r="94" spans="1:14" x14ac:dyDescent="0.3">
      <c r="A94" t="s">
        <v>227</v>
      </c>
      <c r="B94" t="s">
        <v>228</v>
      </c>
      <c r="C94" s="1">
        <v>36797</v>
      </c>
      <c r="D94" t="s">
        <v>15</v>
      </c>
      <c r="E94" t="s">
        <v>190</v>
      </c>
      <c r="F94" t="s">
        <v>191</v>
      </c>
      <c r="G94" t="s">
        <v>192</v>
      </c>
      <c r="H94" s="1">
        <v>45049</v>
      </c>
      <c r="I94" s="1">
        <v>45064</v>
      </c>
      <c r="J94" s="3">
        <v>24069</v>
      </c>
      <c r="K94" s="4">
        <f t="shared" si="8"/>
        <v>15</v>
      </c>
      <c r="L94" t="str">
        <f t="shared" si="5"/>
        <v>May</v>
      </c>
      <c r="M94">
        <f t="shared" si="6"/>
        <v>2023</v>
      </c>
      <c r="N94">
        <f t="shared" si="7"/>
        <v>22</v>
      </c>
    </row>
    <row r="95" spans="1:14" x14ac:dyDescent="0.3">
      <c r="A95" t="s">
        <v>229</v>
      </c>
      <c r="B95" t="s">
        <v>230</v>
      </c>
      <c r="C95" s="1">
        <v>14109</v>
      </c>
      <c r="D95" t="s">
        <v>15</v>
      </c>
      <c r="E95" t="s">
        <v>79</v>
      </c>
      <c r="F95" t="s">
        <v>91</v>
      </c>
      <c r="G95" t="s">
        <v>81</v>
      </c>
      <c r="H95" s="1">
        <v>44493</v>
      </c>
      <c r="I95" s="1">
        <v>44516</v>
      </c>
      <c r="J95" s="3">
        <v>23956.28</v>
      </c>
      <c r="K95" s="4">
        <f t="shared" si="8"/>
        <v>23</v>
      </c>
      <c r="L95" t="str">
        <f t="shared" si="5"/>
        <v>Oct</v>
      </c>
      <c r="M95">
        <f t="shared" si="6"/>
        <v>2021</v>
      </c>
      <c r="N95">
        <f t="shared" si="7"/>
        <v>83</v>
      </c>
    </row>
    <row r="96" spans="1:14" x14ac:dyDescent="0.3">
      <c r="A96" t="s">
        <v>231</v>
      </c>
      <c r="B96" t="s">
        <v>232</v>
      </c>
      <c r="C96" s="1">
        <v>28633</v>
      </c>
      <c r="D96" t="s">
        <v>21</v>
      </c>
      <c r="E96" t="s">
        <v>190</v>
      </c>
      <c r="F96" t="s">
        <v>195</v>
      </c>
      <c r="G96" t="s">
        <v>192</v>
      </c>
      <c r="H96" s="1">
        <v>44468</v>
      </c>
      <c r="I96" s="1">
        <v>44472</v>
      </c>
      <c r="J96" s="3">
        <v>23553.22</v>
      </c>
      <c r="K96" s="4">
        <f t="shared" si="8"/>
        <v>4</v>
      </c>
      <c r="L96" t="str">
        <f t="shared" si="5"/>
        <v>Sep</v>
      </c>
      <c r="M96">
        <f t="shared" si="6"/>
        <v>2021</v>
      </c>
      <c r="N96">
        <f t="shared" si="7"/>
        <v>43</v>
      </c>
    </row>
    <row r="97" spans="1:14" x14ac:dyDescent="0.3">
      <c r="A97" t="s">
        <v>233</v>
      </c>
      <c r="B97" t="s">
        <v>234</v>
      </c>
      <c r="C97" s="1">
        <v>28705</v>
      </c>
      <c r="D97" t="s">
        <v>21</v>
      </c>
      <c r="E97" t="s">
        <v>2145</v>
      </c>
      <c r="F97" t="s">
        <v>68</v>
      </c>
      <c r="G97" t="s">
        <v>69</v>
      </c>
      <c r="H97" s="1">
        <v>44450</v>
      </c>
      <c r="I97" s="1">
        <v>44459</v>
      </c>
      <c r="J97" s="3">
        <v>23513.88</v>
      </c>
      <c r="K97" s="4">
        <f t="shared" si="8"/>
        <v>9</v>
      </c>
      <c r="L97" t="str">
        <f t="shared" si="5"/>
        <v>Sep</v>
      </c>
      <c r="M97">
        <f t="shared" si="6"/>
        <v>2021</v>
      </c>
      <c r="N97">
        <f t="shared" si="7"/>
        <v>43</v>
      </c>
    </row>
    <row r="98" spans="1:14" x14ac:dyDescent="0.3">
      <c r="A98" t="s">
        <v>235</v>
      </c>
      <c r="B98" t="s">
        <v>236</v>
      </c>
      <c r="C98" s="1">
        <v>20091</v>
      </c>
      <c r="D98" t="s">
        <v>21</v>
      </c>
      <c r="E98" t="s">
        <v>190</v>
      </c>
      <c r="F98" t="s">
        <v>195</v>
      </c>
      <c r="G98" t="s">
        <v>200</v>
      </c>
      <c r="H98" s="1">
        <v>44800</v>
      </c>
      <c r="I98" s="1">
        <v>44816</v>
      </c>
      <c r="J98" s="3">
        <v>23351.26</v>
      </c>
      <c r="K98" s="4">
        <f t="shared" si="8"/>
        <v>16</v>
      </c>
      <c r="L98" t="str">
        <f t="shared" si="5"/>
        <v>Aug</v>
      </c>
      <c r="M98">
        <f t="shared" si="6"/>
        <v>2022</v>
      </c>
      <c r="N98">
        <f t="shared" si="7"/>
        <v>67</v>
      </c>
    </row>
    <row r="99" spans="1:14" x14ac:dyDescent="0.3">
      <c r="A99" t="s">
        <v>237</v>
      </c>
      <c r="B99" t="s">
        <v>238</v>
      </c>
      <c r="C99" s="1">
        <v>29002</v>
      </c>
      <c r="D99" t="s">
        <v>15</v>
      </c>
      <c r="E99" t="s">
        <v>2145</v>
      </c>
      <c r="F99" t="s">
        <v>84</v>
      </c>
      <c r="G99" t="s">
        <v>85</v>
      </c>
      <c r="H99" s="1">
        <v>44910</v>
      </c>
      <c r="I99" s="1">
        <v>44938</v>
      </c>
      <c r="J99" s="3">
        <v>23136.14</v>
      </c>
      <c r="K99" s="4">
        <f t="shared" si="8"/>
        <v>28</v>
      </c>
      <c r="L99" t="str">
        <f t="shared" si="5"/>
        <v>Dec</v>
      </c>
      <c r="M99">
        <f t="shared" si="6"/>
        <v>2022</v>
      </c>
      <c r="N99">
        <f t="shared" si="7"/>
        <v>43</v>
      </c>
    </row>
    <row r="100" spans="1:14" x14ac:dyDescent="0.3">
      <c r="A100" t="s">
        <v>239</v>
      </c>
      <c r="B100" t="s">
        <v>240</v>
      </c>
      <c r="C100" s="1">
        <v>40991</v>
      </c>
      <c r="D100" t="s">
        <v>21</v>
      </c>
      <c r="E100" t="s">
        <v>79</v>
      </c>
      <c r="F100" t="s">
        <v>80</v>
      </c>
      <c r="G100" t="s">
        <v>92</v>
      </c>
      <c r="H100" s="1">
        <v>45266</v>
      </c>
      <c r="I100" s="1">
        <v>45294</v>
      </c>
      <c r="J100" s="3">
        <v>23007.82</v>
      </c>
      <c r="K100" s="4">
        <f t="shared" si="8"/>
        <v>28</v>
      </c>
      <c r="L100" t="str">
        <f t="shared" si="5"/>
        <v>Dec</v>
      </c>
      <c r="M100">
        <f t="shared" si="6"/>
        <v>2023</v>
      </c>
      <c r="N100">
        <f t="shared" si="7"/>
        <v>11</v>
      </c>
    </row>
    <row r="101" spans="1:14" x14ac:dyDescent="0.3">
      <c r="A101" t="s">
        <v>241</v>
      </c>
      <c r="B101" t="s">
        <v>242</v>
      </c>
      <c r="C101" s="1">
        <v>32892</v>
      </c>
      <c r="D101" t="s">
        <v>15</v>
      </c>
      <c r="E101" t="s">
        <v>190</v>
      </c>
      <c r="F101" t="s">
        <v>191</v>
      </c>
      <c r="G101" t="s">
        <v>192</v>
      </c>
      <c r="H101" s="1">
        <v>44800</v>
      </c>
      <c r="I101" s="1">
        <v>44814</v>
      </c>
      <c r="J101" s="3">
        <v>22498.799999999999</v>
      </c>
      <c r="K101" s="4">
        <f t="shared" si="8"/>
        <v>14</v>
      </c>
      <c r="L101" t="str">
        <f t="shared" si="5"/>
        <v>Aug</v>
      </c>
      <c r="M101">
        <f t="shared" si="6"/>
        <v>2022</v>
      </c>
      <c r="N101">
        <f t="shared" si="7"/>
        <v>32</v>
      </c>
    </row>
    <row r="102" spans="1:14" x14ac:dyDescent="0.3">
      <c r="A102" t="s">
        <v>243</v>
      </c>
      <c r="B102" t="s">
        <v>244</v>
      </c>
      <c r="C102" s="1">
        <v>25376</v>
      </c>
      <c r="D102" t="s">
        <v>21</v>
      </c>
      <c r="E102" t="s">
        <v>190</v>
      </c>
      <c r="F102" t="s">
        <v>191</v>
      </c>
      <c r="G102" t="s">
        <v>245</v>
      </c>
      <c r="H102" s="1">
        <v>45359</v>
      </c>
      <c r="I102" s="1">
        <v>45383</v>
      </c>
      <c r="J102" s="3">
        <v>21806.37</v>
      </c>
      <c r="K102" s="4">
        <f t="shared" si="8"/>
        <v>24</v>
      </c>
      <c r="L102" t="str">
        <f t="shared" si="5"/>
        <v>Mar</v>
      </c>
      <c r="M102">
        <f t="shared" si="6"/>
        <v>2024</v>
      </c>
      <c r="N102">
        <f t="shared" si="7"/>
        <v>54</v>
      </c>
    </row>
    <row r="103" spans="1:14" x14ac:dyDescent="0.3">
      <c r="A103" t="s">
        <v>246</v>
      </c>
      <c r="B103" t="s">
        <v>247</v>
      </c>
      <c r="C103" s="1">
        <v>34689</v>
      </c>
      <c r="D103" t="s">
        <v>21</v>
      </c>
      <c r="E103" t="s">
        <v>72</v>
      </c>
      <c r="F103" t="s">
        <v>84</v>
      </c>
      <c r="G103" t="s">
        <v>88</v>
      </c>
      <c r="H103" s="1">
        <v>45214</v>
      </c>
      <c r="I103" s="1">
        <v>45218</v>
      </c>
      <c r="J103" s="3">
        <v>21636.35</v>
      </c>
      <c r="K103" s="4">
        <f t="shared" si="8"/>
        <v>4</v>
      </c>
      <c r="L103" t="str">
        <f t="shared" si="5"/>
        <v>Oct</v>
      </c>
      <c r="M103">
        <f t="shared" si="6"/>
        <v>2023</v>
      </c>
      <c r="N103">
        <f t="shared" si="7"/>
        <v>28</v>
      </c>
    </row>
    <row r="104" spans="1:14" x14ac:dyDescent="0.3">
      <c r="A104" t="s">
        <v>248</v>
      </c>
      <c r="B104" t="s">
        <v>249</v>
      </c>
      <c r="C104" s="1">
        <v>11604</v>
      </c>
      <c r="D104" t="s">
        <v>21</v>
      </c>
      <c r="E104" t="s">
        <v>190</v>
      </c>
      <c r="F104" t="s">
        <v>191</v>
      </c>
      <c r="G104" t="s">
        <v>200</v>
      </c>
      <c r="H104" s="1">
        <v>44584</v>
      </c>
      <c r="I104" s="1">
        <v>44611</v>
      </c>
      <c r="J104" s="3">
        <v>21616.2</v>
      </c>
      <c r="K104" s="4">
        <f t="shared" si="8"/>
        <v>27</v>
      </c>
      <c r="L104" t="str">
        <f t="shared" si="5"/>
        <v>Jan</v>
      </c>
      <c r="M104">
        <f t="shared" si="6"/>
        <v>2022</v>
      </c>
      <c r="N104">
        <f t="shared" si="7"/>
        <v>90</v>
      </c>
    </row>
    <row r="105" spans="1:14" x14ac:dyDescent="0.3">
      <c r="A105" t="s">
        <v>250</v>
      </c>
      <c r="B105" t="s">
        <v>251</v>
      </c>
      <c r="C105" s="1">
        <v>19384</v>
      </c>
      <c r="D105" t="s">
        <v>21</v>
      </c>
      <c r="E105" t="s">
        <v>2145</v>
      </c>
      <c r="F105" t="s">
        <v>68</v>
      </c>
      <c r="G105" t="s">
        <v>85</v>
      </c>
      <c r="H105" s="1">
        <v>45461</v>
      </c>
      <c r="I105" s="1">
        <v>45479</v>
      </c>
      <c r="J105" s="3">
        <v>21550.7</v>
      </c>
      <c r="K105" s="4">
        <f t="shared" si="8"/>
        <v>18</v>
      </c>
      <c r="L105" t="str">
        <f t="shared" si="5"/>
        <v>Jun</v>
      </c>
      <c r="M105">
        <f t="shared" si="6"/>
        <v>2024</v>
      </c>
      <c r="N105">
        <f t="shared" si="7"/>
        <v>71</v>
      </c>
    </row>
    <row r="106" spans="1:14" x14ac:dyDescent="0.3">
      <c r="A106" t="s">
        <v>252</v>
      </c>
      <c r="B106" t="s">
        <v>253</v>
      </c>
      <c r="C106" s="1">
        <v>27523</v>
      </c>
      <c r="D106" t="s">
        <v>21</v>
      </c>
      <c r="E106" t="s">
        <v>190</v>
      </c>
      <c r="F106" t="s">
        <v>195</v>
      </c>
      <c r="G106" t="s">
        <v>192</v>
      </c>
      <c r="H106" s="1">
        <v>44718</v>
      </c>
      <c r="I106" s="1">
        <v>44725</v>
      </c>
      <c r="J106" s="3">
        <v>21456.46</v>
      </c>
      <c r="K106" s="4">
        <f t="shared" si="8"/>
        <v>7</v>
      </c>
      <c r="L106" t="str">
        <f t="shared" si="5"/>
        <v>Jun</v>
      </c>
      <c r="M106">
        <f t="shared" si="6"/>
        <v>2022</v>
      </c>
      <c r="N106">
        <f t="shared" si="7"/>
        <v>47</v>
      </c>
    </row>
    <row r="107" spans="1:14" x14ac:dyDescent="0.3">
      <c r="A107" t="s">
        <v>254</v>
      </c>
      <c r="B107" t="s">
        <v>255</v>
      </c>
      <c r="C107" s="1">
        <v>21056</v>
      </c>
      <c r="D107" t="s">
        <v>21</v>
      </c>
      <c r="E107" t="s">
        <v>190</v>
      </c>
      <c r="F107" t="s">
        <v>191</v>
      </c>
      <c r="G107" t="s">
        <v>192</v>
      </c>
      <c r="H107" s="1">
        <v>45362</v>
      </c>
      <c r="I107" s="1">
        <v>45369</v>
      </c>
      <c r="J107" s="3">
        <v>21359.17</v>
      </c>
      <c r="K107" s="4">
        <f t="shared" ref="K107:K150" si="9" xml:space="preserve"> I107-H107</f>
        <v>7</v>
      </c>
      <c r="L107" t="str">
        <f t="shared" si="5"/>
        <v>Mar</v>
      </c>
      <c r="M107">
        <f t="shared" si="6"/>
        <v>2024</v>
      </c>
      <c r="N107">
        <f t="shared" si="7"/>
        <v>66</v>
      </c>
    </row>
    <row r="108" spans="1:14" x14ac:dyDescent="0.3">
      <c r="A108" t="s">
        <v>256</v>
      </c>
      <c r="B108" t="s">
        <v>257</v>
      </c>
      <c r="C108" s="1">
        <v>27217</v>
      </c>
      <c r="D108" t="s">
        <v>21</v>
      </c>
      <c r="E108" t="s">
        <v>190</v>
      </c>
      <c r="F108" t="s">
        <v>191</v>
      </c>
      <c r="G108" t="s">
        <v>192</v>
      </c>
      <c r="H108" s="1">
        <v>44582</v>
      </c>
      <c r="I108" s="1">
        <v>44586</v>
      </c>
      <c r="J108" s="3">
        <v>21009.17</v>
      </c>
      <c r="K108" s="4">
        <f t="shared" si="9"/>
        <v>4</v>
      </c>
      <c r="L108" t="str">
        <f t="shared" si="5"/>
        <v>Jan</v>
      </c>
      <c r="M108">
        <f t="shared" si="6"/>
        <v>2022</v>
      </c>
      <c r="N108">
        <f t="shared" si="7"/>
        <v>47</v>
      </c>
    </row>
    <row r="109" spans="1:14" x14ac:dyDescent="0.3">
      <c r="A109" t="s">
        <v>258</v>
      </c>
      <c r="B109" t="s">
        <v>259</v>
      </c>
      <c r="C109" s="1">
        <v>31489</v>
      </c>
      <c r="D109" t="s">
        <v>15</v>
      </c>
      <c r="E109" t="s">
        <v>72</v>
      </c>
      <c r="F109" t="s">
        <v>84</v>
      </c>
      <c r="G109" t="s">
        <v>73</v>
      </c>
      <c r="H109" s="1">
        <v>44931</v>
      </c>
      <c r="I109" s="1">
        <v>44957</v>
      </c>
      <c r="J109" s="3">
        <v>20876.25</v>
      </c>
      <c r="K109" s="4">
        <f t="shared" si="9"/>
        <v>26</v>
      </c>
      <c r="L109" t="str">
        <f t="shared" si="5"/>
        <v>Jan</v>
      </c>
      <c r="M109">
        <f t="shared" si="6"/>
        <v>2023</v>
      </c>
      <c r="N109">
        <f t="shared" si="7"/>
        <v>36</v>
      </c>
    </row>
    <row r="110" spans="1:14" x14ac:dyDescent="0.3">
      <c r="A110" t="s">
        <v>260</v>
      </c>
      <c r="B110" t="s">
        <v>261</v>
      </c>
      <c r="C110" s="1">
        <v>12112</v>
      </c>
      <c r="D110" t="s">
        <v>15</v>
      </c>
      <c r="E110" t="s">
        <v>79</v>
      </c>
      <c r="F110" t="s">
        <v>95</v>
      </c>
      <c r="G110" t="s">
        <v>92</v>
      </c>
      <c r="H110" s="1">
        <v>45271</v>
      </c>
      <c r="I110" s="1">
        <v>45289</v>
      </c>
      <c r="J110" s="3">
        <v>20798.71</v>
      </c>
      <c r="K110" s="4">
        <f t="shared" si="9"/>
        <v>18</v>
      </c>
      <c r="L110" t="str">
        <f t="shared" si="5"/>
        <v>Dec</v>
      </c>
      <c r="M110">
        <f t="shared" si="6"/>
        <v>2023</v>
      </c>
      <c r="N110">
        <f t="shared" si="7"/>
        <v>90</v>
      </c>
    </row>
    <row r="111" spans="1:14" x14ac:dyDescent="0.3">
      <c r="A111" t="s">
        <v>262</v>
      </c>
      <c r="B111" t="s">
        <v>263</v>
      </c>
      <c r="C111" s="1">
        <v>32516</v>
      </c>
      <c r="D111" t="s">
        <v>15</v>
      </c>
      <c r="E111" t="s">
        <v>16</v>
      </c>
      <c r="F111" t="s">
        <v>25</v>
      </c>
      <c r="G111" t="s">
        <v>26</v>
      </c>
      <c r="H111" s="1">
        <v>44798</v>
      </c>
      <c r="I111" s="1">
        <v>44817</v>
      </c>
      <c r="J111" s="3">
        <v>20577.2</v>
      </c>
      <c r="K111" s="4">
        <f t="shared" si="9"/>
        <v>19</v>
      </c>
      <c r="L111" t="str">
        <f t="shared" si="5"/>
        <v>Aug</v>
      </c>
      <c r="M111">
        <f t="shared" si="6"/>
        <v>2022</v>
      </c>
      <c r="N111">
        <f t="shared" si="7"/>
        <v>33</v>
      </c>
    </row>
    <row r="112" spans="1:14" x14ac:dyDescent="0.3">
      <c r="A112" t="s">
        <v>264</v>
      </c>
      <c r="B112" t="s">
        <v>265</v>
      </c>
      <c r="C112" s="1">
        <v>10901</v>
      </c>
      <c r="D112" t="s">
        <v>21</v>
      </c>
      <c r="E112" t="s">
        <v>190</v>
      </c>
      <c r="F112" t="s">
        <v>191</v>
      </c>
      <c r="G112" t="s">
        <v>245</v>
      </c>
      <c r="H112" s="1">
        <v>44853</v>
      </c>
      <c r="I112" s="1">
        <v>44858</v>
      </c>
      <c r="J112" s="3">
        <v>20281.650000000001</v>
      </c>
      <c r="K112" s="4">
        <f t="shared" si="9"/>
        <v>5</v>
      </c>
      <c r="L112" t="str">
        <f t="shared" si="5"/>
        <v>Oct</v>
      </c>
      <c r="M112">
        <f t="shared" si="6"/>
        <v>2022</v>
      </c>
      <c r="N112">
        <f t="shared" si="7"/>
        <v>92</v>
      </c>
    </row>
    <row r="113" spans="1:14" x14ac:dyDescent="0.3">
      <c r="A113" t="s">
        <v>266</v>
      </c>
      <c r="B113" t="s">
        <v>267</v>
      </c>
      <c r="C113" s="1">
        <v>32951</v>
      </c>
      <c r="D113" t="s">
        <v>15</v>
      </c>
      <c r="E113" t="s">
        <v>2145</v>
      </c>
      <c r="F113" t="s">
        <v>84</v>
      </c>
      <c r="G113" t="s">
        <v>110</v>
      </c>
      <c r="H113" s="1">
        <v>45108</v>
      </c>
      <c r="I113" s="1">
        <v>45133</v>
      </c>
      <c r="J113" s="3">
        <v>20232.73</v>
      </c>
      <c r="K113" s="4">
        <f t="shared" si="9"/>
        <v>25</v>
      </c>
      <c r="L113" t="str">
        <f t="shared" si="5"/>
        <v>Jul</v>
      </c>
      <c r="M113">
        <f t="shared" si="6"/>
        <v>2023</v>
      </c>
      <c r="N113">
        <f t="shared" si="7"/>
        <v>33</v>
      </c>
    </row>
    <row r="114" spans="1:14" x14ac:dyDescent="0.3">
      <c r="A114" t="s">
        <v>268</v>
      </c>
      <c r="B114" t="s">
        <v>269</v>
      </c>
      <c r="C114" s="1">
        <v>14104</v>
      </c>
      <c r="D114" t="s">
        <v>21</v>
      </c>
      <c r="E114" t="s">
        <v>72</v>
      </c>
      <c r="F114" t="s">
        <v>84</v>
      </c>
      <c r="G114" t="s">
        <v>76</v>
      </c>
      <c r="H114" s="1">
        <v>44936</v>
      </c>
      <c r="I114" s="1">
        <v>44951</v>
      </c>
      <c r="J114" s="3">
        <v>20060.7</v>
      </c>
      <c r="K114" s="4">
        <f t="shared" si="9"/>
        <v>15</v>
      </c>
      <c r="L114" t="str">
        <f>TEXT(H114,"mmm")</f>
        <v>Jan</v>
      </c>
      <c r="M114">
        <f t="shared" si="6"/>
        <v>2023</v>
      </c>
      <c r="N114">
        <f t="shared" si="7"/>
        <v>84</v>
      </c>
    </row>
    <row r="115" spans="1:14" x14ac:dyDescent="0.3">
      <c r="A115" t="s">
        <v>270</v>
      </c>
      <c r="B115" t="s">
        <v>271</v>
      </c>
      <c r="C115" s="1">
        <v>30637</v>
      </c>
      <c r="D115" t="s">
        <v>21</v>
      </c>
      <c r="E115" t="s">
        <v>72</v>
      </c>
      <c r="F115" t="s">
        <v>84</v>
      </c>
      <c r="G115" t="s">
        <v>73</v>
      </c>
      <c r="H115" s="1">
        <v>45061</v>
      </c>
      <c r="I115" s="1">
        <v>45086</v>
      </c>
      <c r="J115" s="3">
        <v>19990.04</v>
      </c>
      <c r="K115" s="4">
        <f t="shared" si="9"/>
        <v>25</v>
      </c>
      <c r="L115" t="str">
        <f t="shared" ref="L115:L177" si="10">TEXT(H115,"mmm")</f>
        <v>May</v>
      </c>
      <c r="M115">
        <f t="shared" si="6"/>
        <v>2023</v>
      </c>
      <c r="N115">
        <f t="shared" si="7"/>
        <v>39</v>
      </c>
    </row>
    <row r="116" spans="1:14" x14ac:dyDescent="0.3">
      <c r="A116" t="s">
        <v>272</v>
      </c>
      <c r="B116" t="s">
        <v>273</v>
      </c>
      <c r="C116" s="1">
        <v>24334</v>
      </c>
      <c r="D116" t="s">
        <v>15</v>
      </c>
      <c r="E116" t="s">
        <v>2146</v>
      </c>
      <c r="F116" t="s">
        <v>191</v>
      </c>
      <c r="G116" t="s">
        <v>274</v>
      </c>
      <c r="H116" s="1">
        <v>44914</v>
      </c>
      <c r="I116" s="1">
        <v>44935</v>
      </c>
      <c r="J116" s="3">
        <v>19911.38</v>
      </c>
      <c r="K116" s="4">
        <f t="shared" si="9"/>
        <v>21</v>
      </c>
      <c r="L116" t="str">
        <f t="shared" si="10"/>
        <v>Dec</v>
      </c>
      <c r="M116">
        <f t="shared" si="6"/>
        <v>2022</v>
      </c>
      <c r="N116">
        <f t="shared" si="7"/>
        <v>56</v>
      </c>
    </row>
    <row r="117" spans="1:14" x14ac:dyDescent="0.3">
      <c r="A117" t="s">
        <v>275</v>
      </c>
      <c r="B117" t="s">
        <v>276</v>
      </c>
      <c r="C117" s="1">
        <v>10929</v>
      </c>
      <c r="D117" t="s">
        <v>15</v>
      </c>
      <c r="E117" t="s">
        <v>190</v>
      </c>
      <c r="F117" t="s">
        <v>191</v>
      </c>
      <c r="G117" t="s">
        <v>192</v>
      </c>
      <c r="H117" s="1">
        <v>44423</v>
      </c>
      <c r="I117" s="1">
        <v>44440</v>
      </c>
      <c r="J117" s="3">
        <v>19838.39</v>
      </c>
      <c r="K117" s="4">
        <f t="shared" si="9"/>
        <v>17</v>
      </c>
      <c r="L117" t="str">
        <f t="shared" si="10"/>
        <v>Aug</v>
      </c>
      <c r="M117">
        <f t="shared" si="6"/>
        <v>2021</v>
      </c>
      <c r="N117">
        <f t="shared" si="7"/>
        <v>91</v>
      </c>
    </row>
    <row r="118" spans="1:14" x14ac:dyDescent="0.3">
      <c r="A118" t="s">
        <v>277</v>
      </c>
      <c r="B118" t="s">
        <v>278</v>
      </c>
      <c r="C118" s="1">
        <v>10784</v>
      </c>
      <c r="D118" t="s">
        <v>15</v>
      </c>
      <c r="E118" t="s">
        <v>190</v>
      </c>
      <c r="F118" t="s">
        <v>191</v>
      </c>
      <c r="G118" t="s">
        <v>192</v>
      </c>
      <c r="H118" s="1">
        <v>45445</v>
      </c>
      <c r="I118" s="1">
        <v>45459</v>
      </c>
      <c r="J118" s="3">
        <v>19789.55</v>
      </c>
      <c r="K118" s="4">
        <f t="shared" si="9"/>
        <v>14</v>
      </c>
      <c r="L118" t="str">
        <f>TEXT(H118,"mmm")</f>
        <v>Jun</v>
      </c>
      <c r="M118">
        <f t="shared" si="6"/>
        <v>2024</v>
      </c>
      <c r="N118">
        <f t="shared" si="7"/>
        <v>94</v>
      </c>
    </row>
    <row r="119" spans="1:14" x14ac:dyDescent="0.3">
      <c r="A119" t="s">
        <v>279</v>
      </c>
      <c r="B119" t="s">
        <v>280</v>
      </c>
      <c r="C119" s="1">
        <v>11588</v>
      </c>
      <c r="D119" t="s">
        <v>15</v>
      </c>
      <c r="E119" t="s">
        <v>2141</v>
      </c>
      <c r="F119" t="s">
        <v>84</v>
      </c>
      <c r="G119" t="s">
        <v>281</v>
      </c>
      <c r="H119" s="1">
        <v>45373</v>
      </c>
      <c r="I119" s="1">
        <v>45377</v>
      </c>
      <c r="J119" s="3">
        <v>19716.12</v>
      </c>
      <c r="K119" s="4">
        <f t="shared" si="9"/>
        <v>4</v>
      </c>
      <c r="L119" t="str">
        <f t="shared" si="10"/>
        <v>Mar</v>
      </c>
      <c r="M119">
        <f t="shared" si="6"/>
        <v>2024</v>
      </c>
      <c r="N119">
        <f t="shared" si="7"/>
        <v>92</v>
      </c>
    </row>
    <row r="120" spans="1:14" x14ac:dyDescent="0.3">
      <c r="A120" t="s">
        <v>282</v>
      </c>
      <c r="B120" t="s">
        <v>283</v>
      </c>
      <c r="C120" s="1">
        <v>20339</v>
      </c>
      <c r="D120" t="s">
        <v>21</v>
      </c>
      <c r="E120" t="s">
        <v>2145</v>
      </c>
      <c r="F120" t="s">
        <v>84</v>
      </c>
      <c r="G120" t="s">
        <v>85</v>
      </c>
      <c r="H120" s="1">
        <v>44579</v>
      </c>
      <c r="I120" s="1">
        <v>44588</v>
      </c>
      <c r="J120" s="3">
        <v>19565.53</v>
      </c>
      <c r="K120" s="4">
        <f t="shared" si="9"/>
        <v>9</v>
      </c>
      <c r="L120" t="str">
        <f t="shared" si="10"/>
        <v>Jan</v>
      </c>
      <c r="M120">
        <f t="shared" si="6"/>
        <v>2022</v>
      </c>
      <c r="N120">
        <f t="shared" si="7"/>
        <v>66</v>
      </c>
    </row>
    <row r="121" spans="1:14" x14ac:dyDescent="0.3">
      <c r="A121" t="s">
        <v>284</v>
      </c>
      <c r="B121" t="s">
        <v>285</v>
      </c>
      <c r="C121" s="1">
        <v>9752</v>
      </c>
      <c r="D121" t="s">
        <v>21</v>
      </c>
      <c r="E121" t="s">
        <v>2141</v>
      </c>
      <c r="F121" t="s">
        <v>286</v>
      </c>
      <c r="G121" t="s">
        <v>281</v>
      </c>
      <c r="H121" s="1">
        <v>45265</v>
      </c>
      <c r="I121" s="1">
        <v>45289</v>
      </c>
      <c r="J121" s="3">
        <v>19484.45</v>
      </c>
      <c r="K121" s="4">
        <f t="shared" si="9"/>
        <v>24</v>
      </c>
      <c r="L121" t="str">
        <f t="shared" si="10"/>
        <v>Dec</v>
      </c>
      <c r="M121">
        <f t="shared" si="6"/>
        <v>2023</v>
      </c>
      <c r="N121">
        <f t="shared" si="7"/>
        <v>97</v>
      </c>
    </row>
    <row r="122" spans="1:14" x14ac:dyDescent="0.3">
      <c r="A122" t="s">
        <v>287</v>
      </c>
      <c r="B122" t="s">
        <v>288</v>
      </c>
      <c r="C122" s="1">
        <v>16803</v>
      </c>
      <c r="D122" t="s">
        <v>21</v>
      </c>
      <c r="E122" t="s">
        <v>2142</v>
      </c>
      <c r="F122" t="s">
        <v>95</v>
      </c>
      <c r="G122" t="s">
        <v>289</v>
      </c>
      <c r="H122" s="1">
        <v>44883</v>
      </c>
      <c r="I122" s="1">
        <v>44898</v>
      </c>
      <c r="J122" s="3">
        <v>19410.080000000002</v>
      </c>
      <c r="K122" s="4">
        <f t="shared" si="9"/>
        <v>15</v>
      </c>
      <c r="L122" t="str">
        <f t="shared" si="10"/>
        <v>Nov</v>
      </c>
      <c r="M122">
        <f t="shared" si="6"/>
        <v>2022</v>
      </c>
      <c r="N122">
        <f t="shared" si="7"/>
        <v>76</v>
      </c>
    </row>
    <row r="123" spans="1:14" x14ac:dyDescent="0.3">
      <c r="A123" t="s">
        <v>290</v>
      </c>
      <c r="B123" t="s">
        <v>291</v>
      </c>
      <c r="C123" s="1">
        <v>26228</v>
      </c>
      <c r="D123" t="s">
        <v>15</v>
      </c>
      <c r="E123" t="s">
        <v>2145</v>
      </c>
      <c r="F123" t="s">
        <v>68</v>
      </c>
      <c r="G123" t="s">
        <v>69</v>
      </c>
      <c r="H123" s="1">
        <v>45387</v>
      </c>
      <c r="I123" s="1">
        <v>45410</v>
      </c>
      <c r="J123" s="3">
        <v>19409.7</v>
      </c>
      <c r="K123" s="4">
        <f t="shared" si="9"/>
        <v>23</v>
      </c>
      <c r="L123" t="str">
        <f t="shared" si="10"/>
        <v>Apr</v>
      </c>
      <c r="M123">
        <f t="shared" si="6"/>
        <v>2024</v>
      </c>
      <c r="N123">
        <f t="shared" si="7"/>
        <v>52</v>
      </c>
    </row>
    <row r="124" spans="1:14" x14ac:dyDescent="0.3">
      <c r="A124" t="s">
        <v>292</v>
      </c>
      <c r="B124" t="s">
        <v>293</v>
      </c>
      <c r="C124" s="1">
        <v>17460</v>
      </c>
      <c r="D124" t="s">
        <v>21</v>
      </c>
      <c r="E124" t="s">
        <v>294</v>
      </c>
      <c r="F124" t="s">
        <v>295</v>
      </c>
      <c r="G124" t="s">
        <v>296</v>
      </c>
      <c r="H124" s="1">
        <v>44974</v>
      </c>
      <c r="I124" s="1">
        <v>45002</v>
      </c>
      <c r="J124" s="3">
        <v>19406.72</v>
      </c>
      <c r="K124" s="4">
        <f t="shared" si="9"/>
        <v>28</v>
      </c>
      <c r="L124" t="str">
        <f t="shared" si="10"/>
        <v>Feb</v>
      </c>
      <c r="M124">
        <f t="shared" si="6"/>
        <v>2023</v>
      </c>
      <c r="N124">
        <f t="shared" si="7"/>
        <v>75</v>
      </c>
    </row>
    <row r="125" spans="1:14" x14ac:dyDescent="0.3">
      <c r="A125" t="s">
        <v>297</v>
      </c>
      <c r="B125" t="s">
        <v>298</v>
      </c>
      <c r="C125" s="1">
        <v>34502</v>
      </c>
      <c r="D125" t="s">
        <v>15</v>
      </c>
      <c r="E125" t="s">
        <v>2141</v>
      </c>
      <c r="F125" t="s">
        <v>84</v>
      </c>
      <c r="G125" t="s">
        <v>299</v>
      </c>
      <c r="H125" s="1">
        <v>45361</v>
      </c>
      <c r="I125" s="1">
        <v>45373</v>
      </c>
      <c r="J125" s="3">
        <v>19285.29</v>
      </c>
      <c r="K125" s="4">
        <f t="shared" si="9"/>
        <v>12</v>
      </c>
      <c r="L125" t="str">
        <f t="shared" si="10"/>
        <v>Mar</v>
      </c>
      <c r="M125">
        <f t="shared" si="6"/>
        <v>2024</v>
      </c>
      <c r="N125">
        <f t="shared" si="7"/>
        <v>29</v>
      </c>
    </row>
    <row r="126" spans="1:14" x14ac:dyDescent="0.3">
      <c r="A126" t="s">
        <v>300</v>
      </c>
      <c r="B126" t="s">
        <v>301</v>
      </c>
      <c r="C126" s="1">
        <v>33576</v>
      </c>
      <c r="D126" t="s">
        <v>15</v>
      </c>
      <c r="E126" t="s">
        <v>2142</v>
      </c>
      <c r="F126" t="s">
        <v>84</v>
      </c>
      <c r="G126" t="s">
        <v>302</v>
      </c>
      <c r="H126" s="1">
        <v>45360</v>
      </c>
      <c r="I126" s="1">
        <v>45380</v>
      </c>
      <c r="J126" s="3">
        <v>19235.02</v>
      </c>
      <c r="K126" s="4">
        <f t="shared" si="9"/>
        <v>20</v>
      </c>
      <c r="L126" t="str">
        <f t="shared" si="10"/>
        <v>Mar</v>
      </c>
      <c r="M126">
        <f t="shared" si="6"/>
        <v>2024</v>
      </c>
      <c r="N126">
        <f t="shared" si="7"/>
        <v>32</v>
      </c>
    </row>
    <row r="127" spans="1:14" x14ac:dyDescent="0.3">
      <c r="A127" t="s">
        <v>303</v>
      </c>
      <c r="B127" t="s">
        <v>304</v>
      </c>
      <c r="C127" s="1">
        <v>43554</v>
      </c>
      <c r="D127" t="s">
        <v>15</v>
      </c>
      <c r="E127" t="s">
        <v>2142</v>
      </c>
      <c r="F127" t="s">
        <v>84</v>
      </c>
      <c r="G127" t="s">
        <v>305</v>
      </c>
      <c r="H127" s="1">
        <v>45079</v>
      </c>
      <c r="I127" s="1">
        <v>45100</v>
      </c>
      <c r="J127" s="3">
        <v>19191.59</v>
      </c>
      <c r="K127" s="4">
        <f t="shared" si="9"/>
        <v>21</v>
      </c>
      <c r="L127" t="str">
        <f t="shared" si="10"/>
        <v>Jun</v>
      </c>
      <c r="M127">
        <f t="shared" si="6"/>
        <v>2023</v>
      </c>
      <c r="N127">
        <f t="shared" si="7"/>
        <v>4</v>
      </c>
    </row>
    <row r="128" spans="1:14" x14ac:dyDescent="0.3">
      <c r="A128" t="s">
        <v>306</v>
      </c>
      <c r="B128" t="s">
        <v>307</v>
      </c>
      <c r="C128" s="1">
        <v>26166</v>
      </c>
      <c r="D128" t="s">
        <v>15</v>
      </c>
      <c r="E128" t="s">
        <v>2146</v>
      </c>
      <c r="F128" t="s">
        <v>84</v>
      </c>
      <c r="G128" t="s">
        <v>308</v>
      </c>
      <c r="H128" s="1">
        <v>44690</v>
      </c>
      <c r="I128" s="1">
        <v>44701</v>
      </c>
      <c r="J128" s="3">
        <v>19190.59</v>
      </c>
      <c r="K128" s="4">
        <f t="shared" si="9"/>
        <v>11</v>
      </c>
      <c r="L128" t="str">
        <f t="shared" si="10"/>
        <v>May</v>
      </c>
      <c r="M128">
        <f t="shared" ref="M128:M190" si="11">YEAR(H128)</f>
        <v>2022</v>
      </c>
      <c r="N128">
        <f t="shared" ref="N128:N190" si="12">DATEDIF(C128, H128, "Y")</f>
        <v>50</v>
      </c>
    </row>
    <row r="129" spans="1:14" x14ac:dyDescent="0.3">
      <c r="A129" t="s">
        <v>309</v>
      </c>
      <c r="B129" t="s">
        <v>310</v>
      </c>
      <c r="C129" s="1">
        <v>40247</v>
      </c>
      <c r="D129" t="s">
        <v>15</v>
      </c>
      <c r="E129" t="s">
        <v>294</v>
      </c>
      <c r="F129" t="s">
        <v>95</v>
      </c>
      <c r="G129" t="s">
        <v>311</v>
      </c>
      <c r="H129" s="1">
        <v>44642</v>
      </c>
      <c r="I129" s="1">
        <v>44661</v>
      </c>
      <c r="J129" s="3">
        <v>19170.990000000002</v>
      </c>
      <c r="K129" s="4">
        <f t="shared" si="9"/>
        <v>19</v>
      </c>
      <c r="L129" t="str">
        <f t="shared" si="10"/>
        <v>Mar</v>
      </c>
      <c r="M129">
        <f t="shared" si="11"/>
        <v>2022</v>
      </c>
      <c r="N129">
        <f t="shared" si="12"/>
        <v>12</v>
      </c>
    </row>
    <row r="130" spans="1:14" x14ac:dyDescent="0.3">
      <c r="A130" t="s">
        <v>312</v>
      </c>
      <c r="B130" t="s">
        <v>313</v>
      </c>
      <c r="C130" s="1">
        <v>35483</v>
      </c>
      <c r="D130" t="s">
        <v>21</v>
      </c>
      <c r="E130" t="s">
        <v>190</v>
      </c>
      <c r="F130" t="s">
        <v>195</v>
      </c>
      <c r="G130" t="s">
        <v>245</v>
      </c>
      <c r="H130" s="1">
        <v>44890</v>
      </c>
      <c r="I130" s="1">
        <v>44905</v>
      </c>
      <c r="J130" s="3">
        <v>19146.98</v>
      </c>
      <c r="K130" s="4">
        <f t="shared" si="9"/>
        <v>15</v>
      </c>
      <c r="L130" t="str">
        <f t="shared" si="10"/>
        <v>Nov</v>
      </c>
      <c r="M130">
        <f t="shared" si="11"/>
        <v>2022</v>
      </c>
      <c r="N130">
        <f t="shared" si="12"/>
        <v>25</v>
      </c>
    </row>
    <row r="131" spans="1:14" x14ac:dyDescent="0.3">
      <c r="A131" t="s">
        <v>314</v>
      </c>
      <c r="B131" t="s">
        <v>315</v>
      </c>
      <c r="C131" s="1">
        <v>25036</v>
      </c>
      <c r="D131" t="s">
        <v>15</v>
      </c>
      <c r="E131" t="s">
        <v>2146</v>
      </c>
      <c r="F131" t="s">
        <v>191</v>
      </c>
      <c r="G131" t="s">
        <v>274</v>
      </c>
      <c r="H131" s="1">
        <v>45175</v>
      </c>
      <c r="I131" s="1">
        <v>45190</v>
      </c>
      <c r="J131" s="3">
        <v>19132.09</v>
      </c>
      <c r="K131" s="4">
        <f t="shared" si="9"/>
        <v>15</v>
      </c>
      <c r="L131" t="str">
        <f t="shared" si="10"/>
        <v>Sep</v>
      </c>
      <c r="M131">
        <f t="shared" si="11"/>
        <v>2023</v>
      </c>
      <c r="N131">
        <f t="shared" si="12"/>
        <v>55</v>
      </c>
    </row>
    <row r="132" spans="1:14" x14ac:dyDescent="0.3">
      <c r="A132" t="s">
        <v>316</v>
      </c>
      <c r="B132" t="s">
        <v>317</v>
      </c>
      <c r="C132" s="1">
        <v>14331</v>
      </c>
      <c r="D132" t="s">
        <v>21</v>
      </c>
      <c r="E132" t="s">
        <v>72</v>
      </c>
      <c r="F132" t="s">
        <v>17</v>
      </c>
      <c r="G132" t="s">
        <v>88</v>
      </c>
      <c r="H132" s="1">
        <v>45336</v>
      </c>
      <c r="I132" s="1">
        <v>45360</v>
      </c>
      <c r="J132" s="3">
        <v>19095.03</v>
      </c>
      <c r="K132" s="4">
        <f t="shared" si="9"/>
        <v>24</v>
      </c>
      <c r="L132" t="str">
        <f t="shared" si="10"/>
        <v>Feb</v>
      </c>
      <c r="M132">
        <f t="shared" si="11"/>
        <v>2024</v>
      </c>
      <c r="N132">
        <f t="shared" si="12"/>
        <v>84</v>
      </c>
    </row>
    <row r="133" spans="1:14" x14ac:dyDescent="0.3">
      <c r="A133" t="s">
        <v>318</v>
      </c>
      <c r="B133" t="s">
        <v>319</v>
      </c>
      <c r="C133" s="1">
        <v>43654</v>
      </c>
      <c r="D133" t="s">
        <v>15</v>
      </c>
      <c r="E133" t="s">
        <v>2141</v>
      </c>
      <c r="F133" t="s">
        <v>286</v>
      </c>
      <c r="G133" t="s">
        <v>299</v>
      </c>
      <c r="H133" s="1">
        <v>44498</v>
      </c>
      <c r="I133" s="1">
        <v>44503</v>
      </c>
      <c r="J133" s="3">
        <v>19018.330000000002</v>
      </c>
      <c r="K133" s="4">
        <f t="shared" si="9"/>
        <v>5</v>
      </c>
      <c r="L133" t="str">
        <f t="shared" si="10"/>
        <v>Oct</v>
      </c>
      <c r="M133">
        <f t="shared" si="11"/>
        <v>2021</v>
      </c>
      <c r="N133">
        <f t="shared" si="12"/>
        <v>2</v>
      </c>
    </row>
    <row r="134" spans="1:14" x14ac:dyDescent="0.3">
      <c r="A134" t="s">
        <v>320</v>
      </c>
      <c r="B134" t="s">
        <v>321</v>
      </c>
      <c r="C134" s="1">
        <v>23926</v>
      </c>
      <c r="D134" t="s">
        <v>15</v>
      </c>
      <c r="E134" t="s">
        <v>190</v>
      </c>
      <c r="F134" t="s">
        <v>195</v>
      </c>
      <c r="G134" t="s">
        <v>192</v>
      </c>
      <c r="H134" s="1">
        <v>45353</v>
      </c>
      <c r="I134" s="1">
        <v>45368</v>
      </c>
      <c r="J134" s="3">
        <v>18993.900000000001</v>
      </c>
      <c r="K134" s="4">
        <f t="shared" si="9"/>
        <v>15</v>
      </c>
      <c r="L134" t="str">
        <f t="shared" si="10"/>
        <v>Mar</v>
      </c>
      <c r="M134">
        <f t="shared" si="11"/>
        <v>2024</v>
      </c>
      <c r="N134">
        <f t="shared" si="12"/>
        <v>58</v>
      </c>
    </row>
    <row r="135" spans="1:14" x14ac:dyDescent="0.3">
      <c r="A135" t="s">
        <v>322</v>
      </c>
      <c r="B135" t="s">
        <v>323</v>
      </c>
      <c r="C135" s="1">
        <v>42918</v>
      </c>
      <c r="D135" t="s">
        <v>15</v>
      </c>
      <c r="E135" t="s">
        <v>2143</v>
      </c>
      <c r="F135" t="s">
        <v>84</v>
      </c>
      <c r="G135" t="s">
        <v>324</v>
      </c>
      <c r="H135" s="1">
        <v>45394</v>
      </c>
      <c r="I135" s="1">
        <v>45404</v>
      </c>
      <c r="J135" s="3">
        <v>18953.7</v>
      </c>
      <c r="K135" s="4">
        <f t="shared" si="9"/>
        <v>10</v>
      </c>
      <c r="L135" t="str">
        <f t="shared" si="10"/>
        <v>Apr</v>
      </c>
      <c r="M135">
        <f t="shared" si="11"/>
        <v>2024</v>
      </c>
      <c r="N135">
        <f t="shared" si="12"/>
        <v>6</v>
      </c>
    </row>
    <row r="136" spans="1:14" x14ac:dyDescent="0.3">
      <c r="A136" t="s">
        <v>325</v>
      </c>
      <c r="B136" t="s">
        <v>326</v>
      </c>
      <c r="C136" s="1">
        <v>30988</v>
      </c>
      <c r="D136" t="s">
        <v>15</v>
      </c>
      <c r="E136" t="s">
        <v>2141</v>
      </c>
      <c r="F136" t="s">
        <v>286</v>
      </c>
      <c r="G136" t="s">
        <v>281</v>
      </c>
      <c r="H136" s="1">
        <v>44435</v>
      </c>
      <c r="I136" s="1">
        <v>44452</v>
      </c>
      <c r="J136" s="3">
        <v>18941.349999999999</v>
      </c>
      <c r="K136" s="4">
        <f t="shared" si="9"/>
        <v>17</v>
      </c>
      <c r="L136" t="str">
        <f t="shared" si="10"/>
        <v>Aug</v>
      </c>
      <c r="M136">
        <f t="shared" si="11"/>
        <v>2021</v>
      </c>
      <c r="N136">
        <f t="shared" si="12"/>
        <v>36</v>
      </c>
    </row>
    <row r="137" spans="1:14" x14ac:dyDescent="0.3">
      <c r="A137" t="s">
        <v>327</v>
      </c>
      <c r="B137" t="s">
        <v>328</v>
      </c>
      <c r="C137" s="1">
        <v>36559</v>
      </c>
      <c r="D137" t="s">
        <v>21</v>
      </c>
      <c r="E137" t="s">
        <v>294</v>
      </c>
      <c r="F137" t="s">
        <v>295</v>
      </c>
      <c r="G137" t="s">
        <v>296</v>
      </c>
      <c r="H137" s="1">
        <v>45364</v>
      </c>
      <c r="I137" s="1">
        <v>45370</v>
      </c>
      <c r="J137" s="3">
        <v>18884.98</v>
      </c>
      <c r="K137" s="4">
        <f t="shared" si="9"/>
        <v>6</v>
      </c>
      <c r="L137" t="str">
        <f t="shared" si="10"/>
        <v>Mar</v>
      </c>
      <c r="M137">
        <f t="shared" si="11"/>
        <v>2024</v>
      </c>
      <c r="N137">
        <f t="shared" si="12"/>
        <v>24</v>
      </c>
    </row>
    <row r="138" spans="1:14" x14ac:dyDescent="0.3">
      <c r="A138" t="s">
        <v>329</v>
      </c>
      <c r="B138" t="s">
        <v>330</v>
      </c>
      <c r="C138" s="1">
        <v>26972</v>
      </c>
      <c r="D138" t="s">
        <v>21</v>
      </c>
      <c r="E138" t="s">
        <v>190</v>
      </c>
      <c r="F138" t="s">
        <v>195</v>
      </c>
      <c r="G138" t="s">
        <v>192</v>
      </c>
      <c r="H138" s="1">
        <v>44648</v>
      </c>
      <c r="I138" s="1">
        <v>44665</v>
      </c>
      <c r="J138" s="3">
        <v>18841.28</v>
      </c>
      <c r="K138" s="4">
        <f t="shared" si="9"/>
        <v>17</v>
      </c>
      <c r="L138" t="str">
        <f t="shared" si="10"/>
        <v>Mar</v>
      </c>
      <c r="M138">
        <f t="shared" si="11"/>
        <v>2022</v>
      </c>
      <c r="N138">
        <f t="shared" si="12"/>
        <v>48</v>
      </c>
    </row>
    <row r="139" spans="1:14" x14ac:dyDescent="0.3">
      <c r="A139" t="s">
        <v>331</v>
      </c>
      <c r="B139" t="s">
        <v>332</v>
      </c>
      <c r="C139" s="1">
        <v>36880</v>
      </c>
      <c r="D139" t="s">
        <v>15</v>
      </c>
      <c r="E139" t="s">
        <v>2142</v>
      </c>
      <c r="F139" t="s">
        <v>84</v>
      </c>
      <c r="G139" t="s">
        <v>302</v>
      </c>
      <c r="H139" s="1">
        <v>45289</v>
      </c>
      <c r="I139" s="1">
        <v>45318</v>
      </c>
      <c r="J139" s="3">
        <v>18771.400000000001</v>
      </c>
      <c r="K139" s="4">
        <f t="shared" si="9"/>
        <v>29</v>
      </c>
      <c r="L139" t="str">
        <f t="shared" si="10"/>
        <v>Dec</v>
      </c>
      <c r="M139">
        <f t="shared" si="11"/>
        <v>2023</v>
      </c>
      <c r="N139">
        <f t="shared" si="12"/>
        <v>23</v>
      </c>
    </row>
    <row r="140" spans="1:14" x14ac:dyDescent="0.3">
      <c r="A140" t="s">
        <v>333</v>
      </c>
      <c r="B140" t="s">
        <v>334</v>
      </c>
      <c r="C140" s="1">
        <v>28032</v>
      </c>
      <c r="D140" t="s">
        <v>21</v>
      </c>
      <c r="E140" t="s">
        <v>2142</v>
      </c>
      <c r="F140" t="s">
        <v>84</v>
      </c>
      <c r="G140" t="s">
        <v>289</v>
      </c>
      <c r="H140" s="1">
        <v>44509</v>
      </c>
      <c r="I140" s="1">
        <v>44533</v>
      </c>
      <c r="J140" s="3">
        <v>18646.04</v>
      </c>
      <c r="K140" s="4">
        <f t="shared" si="9"/>
        <v>24</v>
      </c>
      <c r="L140" t="str">
        <f t="shared" si="10"/>
        <v>Nov</v>
      </c>
      <c r="M140">
        <f t="shared" si="11"/>
        <v>2021</v>
      </c>
      <c r="N140">
        <f t="shared" si="12"/>
        <v>45</v>
      </c>
    </row>
    <row r="141" spans="1:14" x14ac:dyDescent="0.3">
      <c r="A141" t="s">
        <v>335</v>
      </c>
      <c r="B141" t="s">
        <v>336</v>
      </c>
      <c r="C141" s="1">
        <v>31949</v>
      </c>
      <c r="D141" t="s">
        <v>15</v>
      </c>
      <c r="E141" t="s">
        <v>2142</v>
      </c>
      <c r="F141" t="s">
        <v>84</v>
      </c>
      <c r="G141" t="s">
        <v>302</v>
      </c>
      <c r="H141" s="1">
        <v>45121</v>
      </c>
      <c r="I141" s="1">
        <v>45151</v>
      </c>
      <c r="J141" s="3">
        <v>18556.509999999998</v>
      </c>
      <c r="K141" s="4">
        <f t="shared" si="9"/>
        <v>30</v>
      </c>
      <c r="L141" t="str">
        <f t="shared" si="10"/>
        <v>Jul</v>
      </c>
      <c r="M141">
        <f t="shared" si="11"/>
        <v>2023</v>
      </c>
      <c r="N141">
        <f t="shared" si="12"/>
        <v>36</v>
      </c>
    </row>
    <row r="142" spans="1:14" x14ac:dyDescent="0.3">
      <c r="A142" t="s">
        <v>337</v>
      </c>
      <c r="B142" t="s">
        <v>338</v>
      </c>
      <c r="C142" s="1">
        <v>16719</v>
      </c>
      <c r="D142" t="s">
        <v>15</v>
      </c>
      <c r="E142" t="s">
        <v>2142</v>
      </c>
      <c r="F142" t="s">
        <v>84</v>
      </c>
      <c r="G142" t="s">
        <v>302</v>
      </c>
      <c r="H142" s="1">
        <v>44579</v>
      </c>
      <c r="I142" s="1">
        <v>44603</v>
      </c>
      <c r="J142" s="3">
        <v>18500.810000000001</v>
      </c>
      <c r="K142" s="4">
        <f t="shared" si="9"/>
        <v>24</v>
      </c>
      <c r="L142" t="str">
        <f t="shared" si="10"/>
        <v>Jan</v>
      </c>
      <c r="M142">
        <f t="shared" si="11"/>
        <v>2022</v>
      </c>
      <c r="N142">
        <f t="shared" si="12"/>
        <v>76</v>
      </c>
    </row>
    <row r="143" spans="1:14" x14ac:dyDescent="0.3">
      <c r="A143" t="s">
        <v>339</v>
      </c>
      <c r="B143" t="s">
        <v>340</v>
      </c>
      <c r="C143" s="1">
        <v>34246</v>
      </c>
      <c r="D143" t="s">
        <v>21</v>
      </c>
      <c r="E143" t="s">
        <v>2145</v>
      </c>
      <c r="F143" t="s">
        <v>68</v>
      </c>
      <c r="G143" t="s">
        <v>110</v>
      </c>
      <c r="H143" s="1">
        <v>44722</v>
      </c>
      <c r="I143" s="1">
        <v>44749</v>
      </c>
      <c r="J143" s="3">
        <v>18443.47</v>
      </c>
      <c r="K143" s="4">
        <f t="shared" si="9"/>
        <v>27</v>
      </c>
      <c r="L143" t="str">
        <f t="shared" si="10"/>
        <v>Jun</v>
      </c>
      <c r="M143">
        <f t="shared" si="11"/>
        <v>2022</v>
      </c>
      <c r="N143">
        <f t="shared" si="12"/>
        <v>28</v>
      </c>
    </row>
    <row r="144" spans="1:14" x14ac:dyDescent="0.3">
      <c r="A144" t="s">
        <v>341</v>
      </c>
      <c r="B144" t="s">
        <v>342</v>
      </c>
      <c r="C144" s="1">
        <v>37762</v>
      </c>
      <c r="D144" t="s">
        <v>15</v>
      </c>
      <c r="E144" t="s">
        <v>2142</v>
      </c>
      <c r="F144" t="s">
        <v>84</v>
      </c>
      <c r="G144" t="s">
        <v>305</v>
      </c>
      <c r="H144" s="1">
        <v>44406</v>
      </c>
      <c r="I144" s="1">
        <v>44421</v>
      </c>
      <c r="J144" s="3">
        <v>18390.09</v>
      </c>
      <c r="K144" s="4">
        <f t="shared" si="9"/>
        <v>15</v>
      </c>
      <c r="L144" t="str">
        <f t="shared" si="10"/>
        <v>Jul</v>
      </c>
      <c r="M144">
        <f t="shared" si="11"/>
        <v>2021</v>
      </c>
      <c r="N144">
        <f t="shared" si="12"/>
        <v>18</v>
      </c>
    </row>
    <row r="145" spans="1:14" x14ac:dyDescent="0.3">
      <c r="A145" t="s">
        <v>343</v>
      </c>
      <c r="B145" t="s">
        <v>344</v>
      </c>
      <c r="C145" s="1">
        <v>26689</v>
      </c>
      <c r="D145" t="s">
        <v>15</v>
      </c>
      <c r="E145" t="s">
        <v>79</v>
      </c>
      <c r="F145" t="s">
        <v>80</v>
      </c>
      <c r="G145" t="s">
        <v>117</v>
      </c>
      <c r="H145" s="1">
        <v>44596</v>
      </c>
      <c r="I145" s="1">
        <v>44615</v>
      </c>
      <c r="J145" s="3">
        <v>18329.240000000002</v>
      </c>
      <c r="K145" s="4">
        <f t="shared" si="9"/>
        <v>19</v>
      </c>
      <c r="L145" t="str">
        <f t="shared" si="10"/>
        <v>Feb</v>
      </c>
      <c r="M145">
        <f t="shared" si="11"/>
        <v>2022</v>
      </c>
      <c r="N145">
        <f t="shared" si="12"/>
        <v>49</v>
      </c>
    </row>
    <row r="146" spans="1:14" x14ac:dyDescent="0.3">
      <c r="A146" t="s">
        <v>345</v>
      </c>
      <c r="B146" t="s">
        <v>346</v>
      </c>
      <c r="C146" s="1">
        <v>36717</v>
      </c>
      <c r="D146" t="s">
        <v>15</v>
      </c>
      <c r="E146" t="s">
        <v>2142</v>
      </c>
      <c r="F146" t="s">
        <v>84</v>
      </c>
      <c r="G146" t="s">
        <v>289</v>
      </c>
      <c r="H146" s="1">
        <v>45189</v>
      </c>
      <c r="I146" s="1">
        <v>45204</v>
      </c>
      <c r="J146" s="3">
        <v>18274.509999999998</v>
      </c>
      <c r="K146" s="4">
        <f t="shared" si="9"/>
        <v>15</v>
      </c>
      <c r="L146" t="str">
        <f t="shared" si="10"/>
        <v>Sep</v>
      </c>
      <c r="M146">
        <f t="shared" si="11"/>
        <v>2023</v>
      </c>
      <c r="N146">
        <f t="shared" si="12"/>
        <v>23</v>
      </c>
    </row>
    <row r="147" spans="1:14" x14ac:dyDescent="0.3">
      <c r="A147" t="s">
        <v>347</v>
      </c>
      <c r="B147" t="s">
        <v>348</v>
      </c>
      <c r="C147" s="1">
        <v>25774</v>
      </c>
      <c r="D147" t="s">
        <v>15</v>
      </c>
      <c r="E147" t="s">
        <v>2142</v>
      </c>
      <c r="F147" t="s">
        <v>84</v>
      </c>
      <c r="G147" t="s">
        <v>289</v>
      </c>
      <c r="H147" s="1">
        <v>45109</v>
      </c>
      <c r="I147" s="1">
        <v>45116</v>
      </c>
      <c r="J147" s="3">
        <v>18201.55</v>
      </c>
      <c r="K147" s="4">
        <f t="shared" si="9"/>
        <v>7</v>
      </c>
      <c r="L147" t="str">
        <f t="shared" si="10"/>
        <v>Jul</v>
      </c>
      <c r="M147">
        <f t="shared" si="11"/>
        <v>2023</v>
      </c>
      <c r="N147">
        <f t="shared" si="12"/>
        <v>52</v>
      </c>
    </row>
    <row r="148" spans="1:14" x14ac:dyDescent="0.3">
      <c r="A148" t="s">
        <v>349</v>
      </c>
      <c r="B148" t="s">
        <v>350</v>
      </c>
      <c r="C148" s="1">
        <v>18346</v>
      </c>
      <c r="D148" t="s">
        <v>21</v>
      </c>
      <c r="E148" t="s">
        <v>2143</v>
      </c>
      <c r="F148" t="s">
        <v>191</v>
      </c>
      <c r="G148" t="s">
        <v>324</v>
      </c>
      <c r="H148" s="1">
        <v>45125</v>
      </c>
      <c r="I148" s="1">
        <v>45135</v>
      </c>
      <c r="J148" s="3">
        <v>17890.11</v>
      </c>
      <c r="K148" s="4">
        <f t="shared" si="9"/>
        <v>10</v>
      </c>
      <c r="L148" t="str">
        <f t="shared" si="10"/>
        <v>Jul</v>
      </c>
      <c r="M148">
        <f t="shared" si="11"/>
        <v>2023</v>
      </c>
      <c r="N148">
        <f t="shared" si="12"/>
        <v>73</v>
      </c>
    </row>
    <row r="149" spans="1:14" x14ac:dyDescent="0.3">
      <c r="A149" t="s">
        <v>351</v>
      </c>
      <c r="B149" t="s">
        <v>352</v>
      </c>
      <c r="C149" s="1">
        <v>44993</v>
      </c>
      <c r="D149" t="s">
        <v>15</v>
      </c>
      <c r="E149" t="s">
        <v>2142</v>
      </c>
      <c r="F149" t="s">
        <v>95</v>
      </c>
      <c r="G149" t="s">
        <v>305</v>
      </c>
      <c r="H149" s="1">
        <v>45195</v>
      </c>
      <c r="I149" s="1">
        <v>45200</v>
      </c>
      <c r="J149" s="3">
        <v>17777.41</v>
      </c>
      <c r="K149" s="4">
        <f t="shared" si="9"/>
        <v>5</v>
      </c>
      <c r="L149" t="str">
        <f t="shared" si="10"/>
        <v>Sep</v>
      </c>
      <c r="M149">
        <f t="shared" si="11"/>
        <v>2023</v>
      </c>
      <c r="N149">
        <f t="shared" si="12"/>
        <v>0</v>
      </c>
    </row>
    <row r="150" spans="1:14" x14ac:dyDescent="0.3">
      <c r="A150" t="s">
        <v>353</v>
      </c>
      <c r="B150" t="s">
        <v>354</v>
      </c>
      <c r="C150" s="1">
        <v>39923</v>
      </c>
      <c r="D150" t="s">
        <v>15</v>
      </c>
      <c r="E150" t="s">
        <v>190</v>
      </c>
      <c r="F150" t="s">
        <v>191</v>
      </c>
      <c r="G150" t="s">
        <v>192</v>
      </c>
      <c r="H150" s="1">
        <v>45002</v>
      </c>
      <c r="I150" s="1">
        <v>45024</v>
      </c>
      <c r="J150" s="3">
        <v>17773.72</v>
      </c>
      <c r="K150" s="4">
        <f t="shared" si="9"/>
        <v>22</v>
      </c>
      <c r="L150" t="str">
        <f t="shared" si="10"/>
        <v>Mar</v>
      </c>
      <c r="M150">
        <f t="shared" si="11"/>
        <v>2023</v>
      </c>
      <c r="N150">
        <f t="shared" si="12"/>
        <v>13</v>
      </c>
    </row>
    <row r="151" spans="1:14" x14ac:dyDescent="0.3">
      <c r="A151" t="s">
        <v>355</v>
      </c>
      <c r="B151" t="s">
        <v>356</v>
      </c>
      <c r="C151" s="1">
        <v>44308</v>
      </c>
      <c r="D151" t="s">
        <v>21</v>
      </c>
      <c r="E151" t="s">
        <v>2141</v>
      </c>
      <c r="F151" t="s">
        <v>84</v>
      </c>
      <c r="G151" t="s">
        <v>357</v>
      </c>
      <c r="H151" s="1">
        <v>44662</v>
      </c>
      <c r="I151" s="1">
        <v>44681</v>
      </c>
      <c r="J151" s="3">
        <v>17702.8</v>
      </c>
      <c r="K151" s="4">
        <f xml:space="preserve"> I151-H151</f>
        <v>19</v>
      </c>
      <c r="L151" t="str">
        <f t="shared" si="10"/>
        <v>Apr</v>
      </c>
      <c r="M151">
        <f t="shared" si="11"/>
        <v>2022</v>
      </c>
      <c r="N151">
        <f t="shared" si="12"/>
        <v>0</v>
      </c>
    </row>
    <row r="152" spans="1:14" x14ac:dyDescent="0.3">
      <c r="A152" t="s">
        <v>358</v>
      </c>
      <c r="B152" t="s">
        <v>359</v>
      </c>
      <c r="C152" s="1">
        <v>42784</v>
      </c>
      <c r="D152" t="s">
        <v>15</v>
      </c>
      <c r="E152" t="s">
        <v>294</v>
      </c>
      <c r="F152" t="s">
        <v>95</v>
      </c>
      <c r="G152" t="s">
        <v>296</v>
      </c>
      <c r="H152" s="1">
        <v>44724</v>
      </c>
      <c r="I152" s="1">
        <v>44737</v>
      </c>
      <c r="J152" s="3">
        <v>17521.400000000001</v>
      </c>
      <c r="K152" s="4">
        <f t="shared" ref="K152:K178" si="13" xml:space="preserve"> I152-H152</f>
        <v>13</v>
      </c>
      <c r="L152" t="str">
        <f t="shared" si="10"/>
        <v>Jun</v>
      </c>
      <c r="M152">
        <f t="shared" si="11"/>
        <v>2022</v>
      </c>
      <c r="N152">
        <f t="shared" si="12"/>
        <v>5</v>
      </c>
    </row>
    <row r="153" spans="1:14" x14ac:dyDescent="0.3">
      <c r="A153" t="s">
        <v>360</v>
      </c>
      <c r="B153" t="s">
        <v>361</v>
      </c>
      <c r="C153" s="1">
        <v>24458</v>
      </c>
      <c r="D153" t="s">
        <v>21</v>
      </c>
      <c r="E153" t="s">
        <v>2141</v>
      </c>
      <c r="F153" t="s">
        <v>84</v>
      </c>
      <c r="G153" t="s">
        <v>357</v>
      </c>
      <c r="H153" s="1">
        <v>44963</v>
      </c>
      <c r="I153" s="1">
        <v>44984</v>
      </c>
      <c r="J153" s="3">
        <v>17498.04</v>
      </c>
      <c r="K153" s="4">
        <f t="shared" si="13"/>
        <v>21</v>
      </c>
      <c r="L153" t="str">
        <f t="shared" si="10"/>
        <v>Feb</v>
      </c>
      <c r="M153">
        <f t="shared" si="11"/>
        <v>2023</v>
      </c>
      <c r="N153">
        <f t="shared" si="12"/>
        <v>56</v>
      </c>
    </row>
    <row r="154" spans="1:14" x14ac:dyDescent="0.3">
      <c r="A154" t="s">
        <v>362</v>
      </c>
      <c r="B154" t="s">
        <v>363</v>
      </c>
      <c r="C154" s="1">
        <v>44618</v>
      </c>
      <c r="D154" t="s">
        <v>21</v>
      </c>
      <c r="E154" t="s">
        <v>2142</v>
      </c>
      <c r="F154" t="s">
        <v>95</v>
      </c>
      <c r="G154" t="s">
        <v>305</v>
      </c>
      <c r="H154" s="1">
        <v>45322</v>
      </c>
      <c r="I154" s="1">
        <v>45332</v>
      </c>
      <c r="J154" s="3">
        <v>17446.7</v>
      </c>
      <c r="K154" s="4">
        <f t="shared" si="13"/>
        <v>10</v>
      </c>
      <c r="L154" t="str">
        <f t="shared" si="10"/>
        <v>Jan</v>
      </c>
      <c r="M154">
        <f t="shared" si="11"/>
        <v>2024</v>
      </c>
      <c r="N154">
        <f t="shared" si="12"/>
        <v>1</v>
      </c>
    </row>
    <row r="155" spans="1:14" x14ac:dyDescent="0.3">
      <c r="A155" t="s">
        <v>364</v>
      </c>
      <c r="B155" t="s">
        <v>365</v>
      </c>
      <c r="C155" s="1">
        <v>17766</v>
      </c>
      <c r="D155" t="s">
        <v>15</v>
      </c>
      <c r="E155" t="s">
        <v>294</v>
      </c>
      <c r="F155" t="s">
        <v>95</v>
      </c>
      <c r="G155" t="s">
        <v>311</v>
      </c>
      <c r="H155" s="1">
        <v>45337</v>
      </c>
      <c r="I155" s="1">
        <v>45360</v>
      </c>
      <c r="J155" s="3">
        <v>17432.990000000002</v>
      </c>
      <c r="K155" s="4">
        <f t="shared" si="13"/>
        <v>23</v>
      </c>
      <c r="L155" t="str">
        <f t="shared" si="10"/>
        <v>Feb</v>
      </c>
      <c r="M155">
        <f t="shared" si="11"/>
        <v>2024</v>
      </c>
      <c r="N155">
        <f t="shared" si="12"/>
        <v>75</v>
      </c>
    </row>
    <row r="156" spans="1:14" x14ac:dyDescent="0.3">
      <c r="A156" t="s">
        <v>366</v>
      </c>
      <c r="B156" t="s">
        <v>367</v>
      </c>
      <c r="C156" s="1">
        <v>25760</v>
      </c>
      <c r="D156" t="s">
        <v>21</v>
      </c>
      <c r="E156" t="s">
        <v>2146</v>
      </c>
      <c r="F156" t="s">
        <v>191</v>
      </c>
      <c r="G156" t="s">
        <v>274</v>
      </c>
      <c r="H156" s="1">
        <v>44532</v>
      </c>
      <c r="I156" s="1">
        <v>44547</v>
      </c>
      <c r="J156" s="3">
        <v>17369.82</v>
      </c>
      <c r="K156" s="4">
        <f t="shared" si="13"/>
        <v>15</v>
      </c>
      <c r="L156" t="str">
        <f t="shared" si="10"/>
        <v>Dec</v>
      </c>
      <c r="M156">
        <f t="shared" si="11"/>
        <v>2021</v>
      </c>
      <c r="N156">
        <f t="shared" si="12"/>
        <v>51</v>
      </c>
    </row>
    <row r="157" spans="1:14" x14ac:dyDescent="0.3">
      <c r="A157" t="s">
        <v>368</v>
      </c>
      <c r="B157" t="s">
        <v>369</v>
      </c>
      <c r="C157" s="1">
        <v>42306</v>
      </c>
      <c r="D157" t="s">
        <v>15</v>
      </c>
      <c r="E157" t="s">
        <v>190</v>
      </c>
      <c r="F157" t="s">
        <v>191</v>
      </c>
      <c r="G157" t="s">
        <v>200</v>
      </c>
      <c r="H157" s="1">
        <v>45089</v>
      </c>
      <c r="I157" s="1">
        <v>45103</v>
      </c>
      <c r="J157" s="3">
        <v>17329.990000000002</v>
      </c>
      <c r="K157" s="4">
        <f t="shared" si="13"/>
        <v>14</v>
      </c>
      <c r="L157" t="str">
        <f t="shared" si="10"/>
        <v>Jun</v>
      </c>
      <c r="M157">
        <f t="shared" si="11"/>
        <v>2023</v>
      </c>
      <c r="N157">
        <f t="shared" si="12"/>
        <v>7</v>
      </c>
    </row>
    <row r="158" spans="1:14" x14ac:dyDescent="0.3">
      <c r="A158" t="s">
        <v>370</v>
      </c>
      <c r="B158" t="s">
        <v>371</v>
      </c>
      <c r="C158" s="1">
        <v>12303</v>
      </c>
      <c r="D158" t="s">
        <v>15</v>
      </c>
      <c r="E158" t="s">
        <v>2141</v>
      </c>
      <c r="F158" t="s">
        <v>286</v>
      </c>
      <c r="G158" t="s">
        <v>281</v>
      </c>
      <c r="H158" s="1">
        <v>45436</v>
      </c>
      <c r="I158" s="1">
        <v>45455</v>
      </c>
      <c r="J158" s="3">
        <v>17072.330000000002</v>
      </c>
      <c r="K158" s="4">
        <f t="shared" si="13"/>
        <v>19</v>
      </c>
      <c r="L158" t="str">
        <f t="shared" si="10"/>
        <v>May</v>
      </c>
      <c r="M158">
        <f t="shared" si="11"/>
        <v>2024</v>
      </c>
      <c r="N158">
        <f t="shared" si="12"/>
        <v>90</v>
      </c>
    </row>
    <row r="159" spans="1:14" x14ac:dyDescent="0.3">
      <c r="A159" t="s">
        <v>372</v>
      </c>
      <c r="B159" t="s">
        <v>373</v>
      </c>
      <c r="C159" s="1">
        <v>42535</v>
      </c>
      <c r="D159" t="s">
        <v>15</v>
      </c>
      <c r="E159" t="s">
        <v>2142</v>
      </c>
      <c r="F159" t="s">
        <v>84</v>
      </c>
      <c r="G159" t="s">
        <v>302</v>
      </c>
      <c r="H159" s="1">
        <v>44849</v>
      </c>
      <c r="I159" s="1">
        <v>44879</v>
      </c>
      <c r="J159" s="3">
        <v>17063.689999999999</v>
      </c>
      <c r="K159" s="4">
        <f t="shared" si="13"/>
        <v>30</v>
      </c>
      <c r="L159" t="str">
        <f t="shared" si="10"/>
        <v>Oct</v>
      </c>
      <c r="M159">
        <f t="shared" si="11"/>
        <v>2022</v>
      </c>
      <c r="N159">
        <f t="shared" si="12"/>
        <v>6</v>
      </c>
    </row>
    <row r="160" spans="1:14" x14ac:dyDescent="0.3">
      <c r="A160" t="s">
        <v>374</v>
      </c>
      <c r="B160" t="s">
        <v>375</v>
      </c>
      <c r="C160" s="1">
        <v>34861</v>
      </c>
      <c r="D160" t="s">
        <v>15</v>
      </c>
      <c r="E160" t="s">
        <v>190</v>
      </c>
      <c r="F160" t="s">
        <v>195</v>
      </c>
      <c r="G160" t="s">
        <v>200</v>
      </c>
      <c r="H160" s="1">
        <v>45087</v>
      </c>
      <c r="I160" s="1">
        <v>45110</v>
      </c>
      <c r="J160" s="3">
        <v>17028.240000000002</v>
      </c>
      <c r="K160" s="4">
        <f t="shared" si="13"/>
        <v>23</v>
      </c>
      <c r="L160" t="str">
        <f t="shared" si="10"/>
        <v>Jun</v>
      </c>
      <c r="M160">
        <f t="shared" si="11"/>
        <v>2023</v>
      </c>
      <c r="N160">
        <f t="shared" si="12"/>
        <v>27</v>
      </c>
    </row>
    <row r="161" spans="1:14" x14ac:dyDescent="0.3">
      <c r="A161" t="s">
        <v>376</v>
      </c>
      <c r="B161" t="s">
        <v>377</v>
      </c>
      <c r="C161" s="1">
        <v>12029</v>
      </c>
      <c r="D161" t="s">
        <v>21</v>
      </c>
      <c r="E161" t="s">
        <v>2141</v>
      </c>
      <c r="F161" t="s">
        <v>84</v>
      </c>
      <c r="G161" t="s">
        <v>357</v>
      </c>
      <c r="H161" s="1">
        <v>44801</v>
      </c>
      <c r="I161" s="1">
        <v>44817</v>
      </c>
      <c r="J161" s="3">
        <v>16991.59</v>
      </c>
      <c r="K161" s="4">
        <f t="shared" si="13"/>
        <v>16</v>
      </c>
      <c r="L161" t="str">
        <f t="shared" si="10"/>
        <v>Aug</v>
      </c>
      <c r="M161">
        <f t="shared" si="11"/>
        <v>2022</v>
      </c>
      <c r="N161">
        <f t="shared" si="12"/>
        <v>89</v>
      </c>
    </row>
    <row r="162" spans="1:14" x14ac:dyDescent="0.3">
      <c r="A162" t="s">
        <v>378</v>
      </c>
      <c r="B162" t="s">
        <v>379</v>
      </c>
      <c r="C162" s="1">
        <v>8708</v>
      </c>
      <c r="D162" t="s">
        <v>15</v>
      </c>
      <c r="E162" t="s">
        <v>2143</v>
      </c>
      <c r="F162" t="s">
        <v>84</v>
      </c>
      <c r="G162" t="s">
        <v>380</v>
      </c>
      <c r="H162" s="1">
        <v>45403</v>
      </c>
      <c r="I162" s="1">
        <v>45420</v>
      </c>
      <c r="J162" s="3">
        <v>16901.59</v>
      </c>
      <c r="K162" s="4">
        <f t="shared" si="13"/>
        <v>17</v>
      </c>
      <c r="L162" t="str">
        <f t="shared" si="10"/>
        <v>Apr</v>
      </c>
      <c r="M162">
        <f t="shared" si="11"/>
        <v>2024</v>
      </c>
      <c r="N162">
        <f t="shared" si="12"/>
        <v>100</v>
      </c>
    </row>
    <row r="163" spans="1:14" x14ac:dyDescent="0.3">
      <c r="A163" t="s">
        <v>381</v>
      </c>
      <c r="B163" t="s">
        <v>382</v>
      </c>
      <c r="C163" s="1">
        <v>26812</v>
      </c>
      <c r="D163" t="s">
        <v>21</v>
      </c>
      <c r="E163" t="s">
        <v>79</v>
      </c>
      <c r="F163" t="s">
        <v>91</v>
      </c>
      <c r="G163" t="s">
        <v>117</v>
      </c>
      <c r="H163" s="1">
        <v>45350</v>
      </c>
      <c r="I163" s="1">
        <v>45374</v>
      </c>
      <c r="J163" s="3">
        <v>16855.080000000002</v>
      </c>
      <c r="K163" s="4">
        <f t="shared" si="13"/>
        <v>24</v>
      </c>
      <c r="L163" t="str">
        <f t="shared" si="10"/>
        <v>Feb</v>
      </c>
      <c r="M163">
        <f t="shared" si="11"/>
        <v>2024</v>
      </c>
      <c r="N163">
        <f t="shared" si="12"/>
        <v>50</v>
      </c>
    </row>
    <row r="164" spans="1:14" x14ac:dyDescent="0.3">
      <c r="A164" t="s">
        <v>383</v>
      </c>
      <c r="B164" t="s">
        <v>384</v>
      </c>
      <c r="C164" s="1">
        <v>11126</v>
      </c>
      <c r="D164" t="s">
        <v>15</v>
      </c>
      <c r="E164" t="s">
        <v>294</v>
      </c>
      <c r="F164" t="s">
        <v>385</v>
      </c>
      <c r="G164" t="s">
        <v>311</v>
      </c>
      <c r="H164" s="1">
        <v>45196</v>
      </c>
      <c r="I164" s="1">
        <v>45223</v>
      </c>
      <c r="J164" s="3">
        <v>16708.080000000002</v>
      </c>
      <c r="K164" s="4">
        <f t="shared" si="13"/>
        <v>27</v>
      </c>
      <c r="L164" t="str">
        <f t="shared" si="10"/>
        <v>Sep</v>
      </c>
      <c r="M164">
        <f t="shared" si="11"/>
        <v>2023</v>
      </c>
      <c r="N164">
        <f t="shared" si="12"/>
        <v>93</v>
      </c>
    </row>
    <row r="165" spans="1:14" x14ac:dyDescent="0.3">
      <c r="A165" t="s">
        <v>386</v>
      </c>
      <c r="B165" t="s">
        <v>387</v>
      </c>
      <c r="C165" s="1">
        <v>35050</v>
      </c>
      <c r="D165" t="s">
        <v>15</v>
      </c>
      <c r="E165" t="s">
        <v>2142</v>
      </c>
      <c r="F165" t="s">
        <v>95</v>
      </c>
      <c r="G165" t="s">
        <v>302</v>
      </c>
      <c r="H165" s="1">
        <v>44946</v>
      </c>
      <c r="I165" s="1">
        <v>44967</v>
      </c>
      <c r="J165" s="3">
        <v>16619.25</v>
      </c>
      <c r="K165" s="4">
        <f t="shared" si="13"/>
        <v>21</v>
      </c>
      <c r="L165" t="str">
        <f t="shared" si="10"/>
        <v>Jan</v>
      </c>
      <c r="M165">
        <f t="shared" si="11"/>
        <v>2023</v>
      </c>
      <c r="N165">
        <f t="shared" si="12"/>
        <v>27</v>
      </c>
    </row>
    <row r="166" spans="1:14" x14ac:dyDescent="0.3">
      <c r="A166" t="s">
        <v>388</v>
      </c>
      <c r="B166" t="s">
        <v>389</v>
      </c>
      <c r="C166" s="1">
        <v>42715</v>
      </c>
      <c r="D166" t="s">
        <v>15</v>
      </c>
      <c r="E166" t="s">
        <v>2141</v>
      </c>
      <c r="F166" t="s">
        <v>286</v>
      </c>
      <c r="G166" t="s">
        <v>281</v>
      </c>
      <c r="H166" s="1">
        <v>45030</v>
      </c>
      <c r="I166" s="1">
        <v>45048</v>
      </c>
      <c r="J166" s="3">
        <v>16576.080000000002</v>
      </c>
      <c r="K166" s="4">
        <f t="shared" si="13"/>
        <v>18</v>
      </c>
      <c r="L166" t="str">
        <f t="shared" si="10"/>
        <v>Apr</v>
      </c>
      <c r="M166">
        <f t="shared" si="11"/>
        <v>2023</v>
      </c>
      <c r="N166">
        <f t="shared" si="12"/>
        <v>6</v>
      </c>
    </row>
    <row r="167" spans="1:14" x14ac:dyDescent="0.3">
      <c r="A167" t="s">
        <v>390</v>
      </c>
      <c r="B167" t="s">
        <v>391</v>
      </c>
      <c r="C167" s="1">
        <v>36641</v>
      </c>
      <c r="D167" t="s">
        <v>21</v>
      </c>
      <c r="E167" t="s">
        <v>2142</v>
      </c>
      <c r="F167" t="s">
        <v>95</v>
      </c>
      <c r="G167" t="s">
        <v>289</v>
      </c>
      <c r="H167" s="1">
        <v>45328</v>
      </c>
      <c r="I167" s="1">
        <v>45337</v>
      </c>
      <c r="J167" s="3">
        <v>16464.66</v>
      </c>
      <c r="K167" s="4">
        <f t="shared" si="13"/>
        <v>9</v>
      </c>
      <c r="L167" t="str">
        <f t="shared" si="10"/>
        <v>Feb</v>
      </c>
      <c r="M167">
        <f t="shared" si="11"/>
        <v>2024</v>
      </c>
      <c r="N167">
        <f t="shared" si="12"/>
        <v>23</v>
      </c>
    </row>
    <row r="168" spans="1:14" x14ac:dyDescent="0.3">
      <c r="A168" t="s">
        <v>392</v>
      </c>
      <c r="B168" t="s">
        <v>393</v>
      </c>
      <c r="C168" s="1">
        <v>25293</v>
      </c>
      <c r="D168" t="s">
        <v>21</v>
      </c>
      <c r="E168" t="s">
        <v>2145</v>
      </c>
      <c r="F168" t="s">
        <v>84</v>
      </c>
      <c r="G168" t="s">
        <v>69</v>
      </c>
      <c r="H168" s="1">
        <v>45451</v>
      </c>
      <c r="I168" s="1">
        <v>45454</v>
      </c>
      <c r="J168" s="3">
        <v>16456.7</v>
      </c>
      <c r="K168" s="4">
        <f t="shared" si="13"/>
        <v>3</v>
      </c>
      <c r="L168" t="str">
        <f t="shared" si="10"/>
        <v>Jun</v>
      </c>
      <c r="M168">
        <f t="shared" si="11"/>
        <v>2024</v>
      </c>
      <c r="N168">
        <f t="shared" si="12"/>
        <v>55</v>
      </c>
    </row>
    <row r="169" spans="1:14" x14ac:dyDescent="0.3">
      <c r="A169" t="s">
        <v>394</v>
      </c>
      <c r="B169" t="s">
        <v>395</v>
      </c>
      <c r="C169" s="1">
        <v>24340</v>
      </c>
      <c r="D169" t="s">
        <v>15</v>
      </c>
      <c r="E169" t="s">
        <v>2141</v>
      </c>
      <c r="F169" t="s">
        <v>84</v>
      </c>
      <c r="G169" t="s">
        <v>357</v>
      </c>
      <c r="H169" s="1">
        <v>45047</v>
      </c>
      <c r="I169" s="1">
        <v>45069</v>
      </c>
      <c r="J169" s="3">
        <v>16412.48</v>
      </c>
      <c r="K169" s="4">
        <f t="shared" si="13"/>
        <v>22</v>
      </c>
      <c r="L169" t="str">
        <f t="shared" si="10"/>
        <v>May</v>
      </c>
      <c r="M169">
        <f t="shared" si="11"/>
        <v>2023</v>
      </c>
      <c r="N169">
        <f t="shared" si="12"/>
        <v>56</v>
      </c>
    </row>
    <row r="170" spans="1:14" x14ac:dyDescent="0.3">
      <c r="A170" t="s">
        <v>396</v>
      </c>
      <c r="B170" t="s">
        <v>397</v>
      </c>
      <c r="C170" s="1">
        <v>27516</v>
      </c>
      <c r="D170" t="s">
        <v>15</v>
      </c>
      <c r="E170" t="s">
        <v>2141</v>
      </c>
      <c r="F170" t="s">
        <v>286</v>
      </c>
      <c r="G170" t="s">
        <v>357</v>
      </c>
      <c r="H170" s="1">
        <v>44764</v>
      </c>
      <c r="I170" s="1">
        <v>44790</v>
      </c>
      <c r="J170" s="3">
        <v>16367.78</v>
      </c>
      <c r="K170" s="4">
        <f t="shared" si="13"/>
        <v>26</v>
      </c>
      <c r="L170" t="str">
        <f t="shared" si="10"/>
        <v>Jul</v>
      </c>
      <c r="M170">
        <f t="shared" si="11"/>
        <v>2022</v>
      </c>
      <c r="N170">
        <f t="shared" si="12"/>
        <v>47</v>
      </c>
    </row>
    <row r="171" spans="1:14" x14ac:dyDescent="0.3">
      <c r="A171" t="s">
        <v>398</v>
      </c>
      <c r="B171" t="s">
        <v>399</v>
      </c>
      <c r="C171" s="1">
        <v>35428</v>
      </c>
      <c r="D171" t="s">
        <v>21</v>
      </c>
      <c r="E171" t="s">
        <v>2143</v>
      </c>
      <c r="F171" t="s">
        <v>84</v>
      </c>
      <c r="G171" t="s">
        <v>324</v>
      </c>
      <c r="H171" s="1">
        <v>45005</v>
      </c>
      <c r="I171" s="1">
        <v>45033</v>
      </c>
      <c r="J171" s="3">
        <v>16346.65</v>
      </c>
      <c r="K171" s="4">
        <f t="shared" si="13"/>
        <v>28</v>
      </c>
      <c r="L171" t="str">
        <f t="shared" si="10"/>
        <v>Mar</v>
      </c>
      <c r="M171">
        <f t="shared" si="11"/>
        <v>2023</v>
      </c>
      <c r="N171">
        <f t="shared" si="12"/>
        <v>26</v>
      </c>
    </row>
    <row r="172" spans="1:14" x14ac:dyDescent="0.3">
      <c r="A172" t="s">
        <v>400</v>
      </c>
      <c r="B172" t="s">
        <v>401</v>
      </c>
      <c r="C172" s="1">
        <v>19093</v>
      </c>
      <c r="D172" t="s">
        <v>21</v>
      </c>
      <c r="E172" t="s">
        <v>2141</v>
      </c>
      <c r="F172" t="s">
        <v>84</v>
      </c>
      <c r="G172" t="s">
        <v>281</v>
      </c>
      <c r="H172" s="1">
        <v>45442</v>
      </c>
      <c r="I172" s="1">
        <v>45446</v>
      </c>
      <c r="J172" s="3">
        <v>16340.43</v>
      </c>
      <c r="K172" s="4">
        <f t="shared" si="13"/>
        <v>4</v>
      </c>
      <c r="L172" t="str">
        <f t="shared" si="10"/>
        <v>May</v>
      </c>
      <c r="M172">
        <f t="shared" si="11"/>
        <v>2024</v>
      </c>
      <c r="N172">
        <f t="shared" si="12"/>
        <v>72</v>
      </c>
    </row>
    <row r="173" spans="1:14" x14ac:dyDescent="0.3">
      <c r="A173" t="s">
        <v>402</v>
      </c>
      <c r="B173" t="s">
        <v>403</v>
      </c>
      <c r="C173" s="1">
        <v>36953</v>
      </c>
      <c r="D173" t="s">
        <v>21</v>
      </c>
      <c r="E173" t="s">
        <v>2141</v>
      </c>
      <c r="F173" t="s">
        <v>84</v>
      </c>
      <c r="G173" t="s">
        <v>357</v>
      </c>
      <c r="H173" s="1">
        <v>44924</v>
      </c>
      <c r="I173" s="1">
        <v>44928</v>
      </c>
      <c r="J173" s="3">
        <v>16334.51</v>
      </c>
      <c r="K173" s="4">
        <f t="shared" si="13"/>
        <v>4</v>
      </c>
      <c r="L173" t="str">
        <f t="shared" si="10"/>
        <v>Dec</v>
      </c>
      <c r="M173">
        <f t="shared" si="11"/>
        <v>2022</v>
      </c>
      <c r="N173">
        <f t="shared" si="12"/>
        <v>21</v>
      </c>
    </row>
    <row r="174" spans="1:14" x14ac:dyDescent="0.3">
      <c r="A174" t="s">
        <v>404</v>
      </c>
      <c r="B174" t="s">
        <v>405</v>
      </c>
      <c r="C174" s="1">
        <v>9944</v>
      </c>
      <c r="D174" t="s">
        <v>15</v>
      </c>
      <c r="E174" t="s">
        <v>79</v>
      </c>
      <c r="F174" t="s">
        <v>95</v>
      </c>
      <c r="G174" t="s">
        <v>92</v>
      </c>
      <c r="H174" s="1">
        <v>45089</v>
      </c>
      <c r="I174" s="1">
        <v>45092</v>
      </c>
      <c r="J174" s="3">
        <v>16291.35</v>
      </c>
      <c r="K174" s="4">
        <f t="shared" si="13"/>
        <v>3</v>
      </c>
      <c r="L174" t="str">
        <f t="shared" si="10"/>
        <v>Jun</v>
      </c>
      <c r="M174">
        <f t="shared" si="11"/>
        <v>2023</v>
      </c>
      <c r="N174">
        <f t="shared" si="12"/>
        <v>96</v>
      </c>
    </row>
    <row r="175" spans="1:14" x14ac:dyDescent="0.3">
      <c r="A175" t="s">
        <v>406</v>
      </c>
      <c r="B175" t="s">
        <v>407</v>
      </c>
      <c r="C175" s="1">
        <v>23509</v>
      </c>
      <c r="D175" t="s">
        <v>15</v>
      </c>
      <c r="E175" t="s">
        <v>2146</v>
      </c>
      <c r="F175" t="s">
        <v>191</v>
      </c>
      <c r="G175" t="s">
        <v>308</v>
      </c>
      <c r="H175" s="1">
        <v>45139</v>
      </c>
      <c r="I175" s="1">
        <v>45149</v>
      </c>
      <c r="J175" s="3">
        <v>16284.72</v>
      </c>
      <c r="K175" s="4">
        <f t="shared" si="13"/>
        <v>10</v>
      </c>
      <c r="L175" t="str">
        <f t="shared" si="10"/>
        <v>Aug</v>
      </c>
      <c r="M175">
        <f t="shared" si="11"/>
        <v>2023</v>
      </c>
      <c r="N175">
        <f t="shared" si="12"/>
        <v>59</v>
      </c>
    </row>
    <row r="176" spans="1:14" x14ac:dyDescent="0.3">
      <c r="A176" t="s">
        <v>408</v>
      </c>
      <c r="B176" t="s">
        <v>409</v>
      </c>
      <c r="C176" s="1">
        <v>42775</v>
      </c>
      <c r="D176" t="s">
        <v>21</v>
      </c>
      <c r="E176" t="s">
        <v>294</v>
      </c>
      <c r="F176" t="s">
        <v>385</v>
      </c>
      <c r="G176" t="s">
        <v>410</v>
      </c>
      <c r="H176" s="1">
        <v>44796</v>
      </c>
      <c r="I176" s="1">
        <v>44815</v>
      </c>
      <c r="J176" s="3">
        <v>16158.65</v>
      </c>
      <c r="K176" s="4">
        <f t="shared" si="13"/>
        <v>19</v>
      </c>
      <c r="L176" t="str">
        <f t="shared" si="10"/>
        <v>Aug</v>
      </c>
      <c r="M176">
        <f t="shared" si="11"/>
        <v>2022</v>
      </c>
      <c r="N176">
        <f t="shared" si="12"/>
        <v>5</v>
      </c>
    </row>
    <row r="177" spans="1:14" x14ac:dyDescent="0.3">
      <c r="A177" t="s">
        <v>411</v>
      </c>
      <c r="B177" t="s">
        <v>412</v>
      </c>
      <c r="C177" s="1">
        <v>41101</v>
      </c>
      <c r="D177" t="s">
        <v>15</v>
      </c>
      <c r="E177" t="s">
        <v>2142</v>
      </c>
      <c r="F177" t="s">
        <v>95</v>
      </c>
      <c r="G177" t="s">
        <v>289</v>
      </c>
      <c r="H177" s="1">
        <v>45015</v>
      </c>
      <c r="I177" s="1">
        <v>45020</v>
      </c>
      <c r="J177" s="3">
        <v>15974.31</v>
      </c>
      <c r="K177" s="4">
        <f t="shared" si="13"/>
        <v>5</v>
      </c>
      <c r="L177" t="str">
        <f t="shared" si="10"/>
        <v>Mar</v>
      </c>
      <c r="M177">
        <f t="shared" si="11"/>
        <v>2023</v>
      </c>
      <c r="N177">
        <f t="shared" si="12"/>
        <v>10</v>
      </c>
    </row>
    <row r="178" spans="1:14" x14ac:dyDescent="0.3">
      <c r="A178" t="s">
        <v>413</v>
      </c>
      <c r="B178" t="s">
        <v>414</v>
      </c>
      <c r="C178" s="1">
        <v>12228</v>
      </c>
      <c r="D178" t="s">
        <v>15</v>
      </c>
      <c r="E178" t="s">
        <v>2146</v>
      </c>
      <c r="F178" t="s">
        <v>84</v>
      </c>
      <c r="G178" t="s">
        <v>308</v>
      </c>
      <c r="H178" s="1">
        <v>45269</v>
      </c>
      <c r="I178" s="1">
        <v>45279</v>
      </c>
      <c r="J178" s="3">
        <v>15932.97</v>
      </c>
      <c r="K178" s="4">
        <f t="shared" si="13"/>
        <v>10</v>
      </c>
      <c r="L178" t="str">
        <f t="shared" ref="L178:L241" si="14">TEXT(H178,"mmm")</f>
        <v>Dec</v>
      </c>
      <c r="M178">
        <f t="shared" si="11"/>
        <v>2023</v>
      </c>
      <c r="N178">
        <f t="shared" si="12"/>
        <v>90</v>
      </c>
    </row>
    <row r="179" spans="1:14" x14ac:dyDescent="0.3">
      <c r="A179" t="s">
        <v>415</v>
      </c>
      <c r="B179" t="s">
        <v>416</v>
      </c>
      <c r="C179" s="1">
        <v>26236</v>
      </c>
      <c r="D179" t="s">
        <v>21</v>
      </c>
      <c r="E179" t="s">
        <v>294</v>
      </c>
      <c r="F179" t="s">
        <v>385</v>
      </c>
      <c r="G179" t="s">
        <v>311</v>
      </c>
      <c r="H179" s="1">
        <v>45155</v>
      </c>
      <c r="I179" s="1">
        <v>45173</v>
      </c>
      <c r="J179" s="3">
        <v>15882.47</v>
      </c>
      <c r="K179" s="4">
        <f xml:space="preserve"> I179-H179</f>
        <v>18</v>
      </c>
      <c r="L179" t="str">
        <f t="shared" si="14"/>
        <v>Aug</v>
      </c>
      <c r="M179">
        <f t="shared" si="11"/>
        <v>2023</v>
      </c>
      <c r="N179">
        <f t="shared" si="12"/>
        <v>51</v>
      </c>
    </row>
    <row r="180" spans="1:14" x14ac:dyDescent="0.3">
      <c r="A180" t="s">
        <v>417</v>
      </c>
      <c r="B180" t="s">
        <v>418</v>
      </c>
      <c r="C180" s="1">
        <v>23890</v>
      </c>
      <c r="D180" t="s">
        <v>15</v>
      </c>
      <c r="E180" t="s">
        <v>2143</v>
      </c>
      <c r="F180" t="s">
        <v>84</v>
      </c>
      <c r="G180" t="s">
        <v>380</v>
      </c>
      <c r="H180" s="1">
        <v>44623</v>
      </c>
      <c r="I180" s="1">
        <v>44647</v>
      </c>
      <c r="J180" s="3">
        <v>15848.64</v>
      </c>
      <c r="K180" s="4">
        <f t="shared" ref="K180:K192" si="15" xml:space="preserve"> I180-H180</f>
        <v>24</v>
      </c>
      <c r="L180" t="str">
        <f t="shared" si="14"/>
        <v>Mar</v>
      </c>
      <c r="M180">
        <f t="shared" si="11"/>
        <v>2022</v>
      </c>
      <c r="N180">
        <f t="shared" si="12"/>
        <v>56</v>
      </c>
    </row>
    <row r="181" spans="1:14" x14ac:dyDescent="0.3">
      <c r="A181" t="s">
        <v>419</v>
      </c>
      <c r="B181" t="s">
        <v>420</v>
      </c>
      <c r="C181" s="1">
        <v>35277</v>
      </c>
      <c r="D181" t="s">
        <v>21</v>
      </c>
      <c r="E181" t="s">
        <v>79</v>
      </c>
      <c r="F181" t="s">
        <v>91</v>
      </c>
      <c r="G181" t="s">
        <v>92</v>
      </c>
      <c r="H181" s="1">
        <v>44739</v>
      </c>
      <c r="I181" s="1">
        <v>44751</v>
      </c>
      <c r="J181" s="3">
        <v>15844.22</v>
      </c>
      <c r="K181" s="4">
        <f t="shared" si="15"/>
        <v>12</v>
      </c>
      <c r="L181" t="str">
        <f t="shared" si="14"/>
        <v>Jun</v>
      </c>
      <c r="M181">
        <f t="shared" si="11"/>
        <v>2022</v>
      </c>
      <c r="N181">
        <f t="shared" si="12"/>
        <v>25</v>
      </c>
    </row>
    <row r="182" spans="1:14" x14ac:dyDescent="0.3">
      <c r="A182" t="s">
        <v>421</v>
      </c>
      <c r="B182" t="s">
        <v>422</v>
      </c>
      <c r="C182" s="1">
        <v>22632</v>
      </c>
      <c r="D182" t="s">
        <v>15</v>
      </c>
      <c r="E182" t="s">
        <v>2141</v>
      </c>
      <c r="F182" t="s">
        <v>84</v>
      </c>
      <c r="G182" t="s">
        <v>357</v>
      </c>
      <c r="H182" s="1">
        <v>44714</v>
      </c>
      <c r="I182" s="1">
        <v>44742</v>
      </c>
      <c r="J182" s="3">
        <v>15829.2</v>
      </c>
      <c r="K182" s="4">
        <f t="shared" si="15"/>
        <v>28</v>
      </c>
      <c r="L182" t="str">
        <f t="shared" si="14"/>
        <v>Jun</v>
      </c>
      <c r="M182">
        <f t="shared" si="11"/>
        <v>2022</v>
      </c>
      <c r="N182">
        <f t="shared" si="12"/>
        <v>60</v>
      </c>
    </row>
    <row r="183" spans="1:14" x14ac:dyDescent="0.3">
      <c r="A183" t="s">
        <v>423</v>
      </c>
      <c r="B183" t="s">
        <v>424</v>
      </c>
      <c r="C183" s="1">
        <v>17586</v>
      </c>
      <c r="D183" t="s">
        <v>21</v>
      </c>
      <c r="E183" t="s">
        <v>190</v>
      </c>
      <c r="F183" t="s">
        <v>195</v>
      </c>
      <c r="G183" t="s">
        <v>245</v>
      </c>
      <c r="H183" s="1">
        <v>45326</v>
      </c>
      <c r="I183" s="1">
        <v>45351</v>
      </c>
      <c r="J183" s="3">
        <v>15785.89</v>
      </c>
      <c r="K183" s="4">
        <f t="shared" si="15"/>
        <v>25</v>
      </c>
      <c r="L183" t="str">
        <f t="shared" si="14"/>
        <v>Feb</v>
      </c>
      <c r="M183">
        <f t="shared" si="11"/>
        <v>2024</v>
      </c>
      <c r="N183">
        <f t="shared" si="12"/>
        <v>75</v>
      </c>
    </row>
    <row r="184" spans="1:14" x14ac:dyDescent="0.3">
      <c r="A184" t="s">
        <v>425</v>
      </c>
      <c r="B184" t="s">
        <v>426</v>
      </c>
      <c r="C184" s="1">
        <v>23954</v>
      </c>
      <c r="D184" t="s">
        <v>15</v>
      </c>
      <c r="E184" t="s">
        <v>2146</v>
      </c>
      <c r="F184" t="s">
        <v>191</v>
      </c>
      <c r="G184" t="s">
        <v>427</v>
      </c>
      <c r="H184" s="1">
        <v>44780</v>
      </c>
      <c r="I184" s="1">
        <v>44785</v>
      </c>
      <c r="J184" s="3">
        <v>15724.89</v>
      </c>
      <c r="K184" s="4">
        <f t="shared" si="15"/>
        <v>5</v>
      </c>
      <c r="L184" t="str">
        <f t="shared" si="14"/>
        <v>Aug</v>
      </c>
      <c r="M184">
        <f t="shared" si="11"/>
        <v>2022</v>
      </c>
      <c r="N184">
        <f t="shared" si="12"/>
        <v>57</v>
      </c>
    </row>
    <row r="185" spans="1:14" x14ac:dyDescent="0.3">
      <c r="A185" t="s">
        <v>428</v>
      </c>
      <c r="B185" t="s">
        <v>429</v>
      </c>
      <c r="C185" s="1">
        <v>39748</v>
      </c>
      <c r="D185" t="s">
        <v>15</v>
      </c>
      <c r="E185" t="s">
        <v>294</v>
      </c>
      <c r="F185" t="s">
        <v>95</v>
      </c>
      <c r="G185" t="s">
        <v>311</v>
      </c>
      <c r="H185" s="1">
        <v>45048</v>
      </c>
      <c r="I185" s="1">
        <v>45059</v>
      </c>
      <c r="J185" s="3">
        <v>15716.46</v>
      </c>
      <c r="K185" s="4">
        <f t="shared" si="15"/>
        <v>11</v>
      </c>
      <c r="L185" t="str">
        <f t="shared" si="14"/>
        <v>May</v>
      </c>
      <c r="M185">
        <f t="shared" si="11"/>
        <v>2023</v>
      </c>
      <c r="N185">
        <f t="shared" si="12"/>
        <v>14</v>
      </c>
    </row>
    <row r="186" spans="1:14" x14ac:dyDescent="0.3">
      <c r="A186" t="s">
        <v>430</v>
      </c>
      <c r="B186" t="s">
        <v>431</v>
      </c>
      <c r="C186" s="1">
        <v>21715</v>
      </c>
      <c r="D186" t="s">
        <v>21</v>
      </c>
      <c r="E186" t="s">
        <v>190</v>
      </c>
      <c r="F186" t="s">
        <v>191</v>
      </c>
      <c r="G186" t="s">
        <v>192</v>
      </c>
      <c r="H186" s="1">
        <v>44618</v>
      </c>
      <c r="I186" s="1">
        <v>44644</v>
      </c>
      <c r="J186" s="3">
        <v>15515.37</v>
      </c>
      <c r="K186" s="4">
        <f t="shared" si="15"/>
        <v>26</v>
      </c>
      <c r="L186" t="str">
        <f t="shared" si="14"/>
        <v>Feb</v>
      </c>
      <c r="M186">
        <f t="shared" si="11"/>
        <v>2022</v>
      </c>
      <c r="N186">
        <f t="shared" si="12"/>
        <v>62</v>
      </c>
    </row>
    <row r="187" spans="1:14" x14ac:dyDescent="0.3">
      <c r="A187" t="s">
        <v>432</v>
      </c>
      <c r="B187" t="s">
        <v>433</v>
      </c>
      <c r="C187" s="1">
        <v>22655</v>
      </c>
      <c r="D187" t="s">
        <v>21</v>
      </c>
      <c r="E187" t="s">
        <v>79</v>
      </c>
      <c r="F187" t="s">
        <v>91</v>
      </c>
      <c r="G187" t="s">
        <v>92</v>
      </c>
      <c r="H187" s="1">
        <v>44416</v>
      </c>
      <c r="I187" s="1">
        <v>44435</v>
      </c>
      <c r="J187" s="3">
        <v>15423.02</v>
      </c>
      <c r="K187" s="4">
        <f t="shared" si="15"/>
        <v>19</v>
      </c>
      <c r="L187" t="str">
        <f t="shared" si="14"/>
        <v>Aug</v>
      </c>
      <c r="M187">
        <f t="shared" si="11"/>
        <v>2021</v>
      </c>
      <c r="N187">
        <f t="shared" si="12"/>
        <v>59</v>
      </c>
    </row>
    <row r="188" spans="1:14" x14ac:dyDescent="0.3">
      <c r="A188" t="s">
        <v>434</v>
      </c>
      <c r="B188" t="s">
        <v>435</v>
      </c>
      <c r="C188" s="1">
        <v>41906</v>
      </c>
      <c r="D188" t="s">
        <v>21</v>
      </c>
      <c r="E188" t="s">
        <v>294</v>
      </c>
      <c r="F188" t="s">
        <v>385</v>
      </c>
      <c r="G188" t="s">
        <v>410</v>
      </c>
      <c r="H188" s="1">
        <v>45181</v>
      </c>
      <c r="I188" s="1">
        <v>45188</v>
      </c>
      <c r="J188" s="3">
        <v>15379.4</v>
      </c>
      <c r="K188" s="4">
        <f t="shared" si="15"/>
        <v>7</v>
      </c>
      <c r="L188" t="str">
        <f t="shared" si="14"/>
        <v>Sep</v>
      </c>
      <c r="M188">
        <f t="shared" si="11"/>
        <v>2023</v>
      </c>
      <c r="N188">
        <f t="shared" si="12"/>
        <v>8</v>
      </c>
    </row>
    <row r="189" spans="1:14" x14ac:dyDescent="0.3">
      <c r="A189" t="s">
        <v>436</v>
      </c>
      <c r="B189" t="s">
        <v>437</v>
      </c>
      <c r="C189" s="1">
        <v>28063</v>
      </c>
      <c r="D189" t="s">
        <v>15</v>
      </c>
      <c r="E189" t="s">
        <v>2141</v>
      </c>
      <c r="F189" t="s">
        <v>84</v>
      </c>
      <c r="G189" t="s">
        <v>299</v>
      </c>
      <c r="H189" s="1">
        <v>44667</v>
      </c>
      <c r="I189" s="1">
        <v>44687</v>
      </c>
      <c r="J189" s="3">
        <v>15309.39</v>
      </c>
      <c r="K189" s="4">
        <f t="shared" si="15"/>
        <v>20</v>
      </c>
      <c r="L189" t="str">
        <f t="shared" si="14"/>
        <v>Apr</v>
      </c>
      <c r="M189">
        <f t="shared" si="11"/>
        <v>2022</v>
      </c>
      <c r="N189">
        <f t="shared" si="12"/>
        <v>45</v>
      </c>
    </row>
    <row r="190" spans="1:14" x14ac:dyDescent="0.3">
      <c r="A190" t="s">
        <v>438</v>
      </c>
      <c r="B190" t="s">
        <v>439</v>
      </c>
      <c r="C190" s="1">
        <v>8966</v>
      </c>
      <c r="D190" t="s">
        <v>15</v>
      </c>
      <c r="E190" t="s">
        <v>2143</v>
      </c>
      <c r="F190" t="s">
        <v>191</v>
      </c>
      <c r="G190" t="s">
        <v>380</v>
      </c>
      <c r="H190" s="1">
        <v>45478</v>
      </c>
      <c r="I190" s="1">
        <v>45502</v>
      </c>
      <c r="J190" s="3">
        <v>15288.56</v>
      </c>
      <c r="K190" s="4">
        <f t="shared" si="15"/>
        <v>24</v>
      </c>
      <c r="L190" t="str">
        <f t="shared" si="14"/>
        <v>Jul</v>
      </c>
      <c r="M190">
        <f t="shared" si="11"/>
        <v>2024</v>
      </c>
      <c r="N190">
        <f t="shared" si="12"/>
        <v>99</v>
      </c>
    </row>
    <row r="191" spans="1:14" x14ac:dyDescent="0.3">
      <c r="A191" t="s">
        <v>440</v>
      </c>
      <c r="B191" t="s">
        <v>441</v>
      </c>
      <c r="C191" s="1">
        <v>15962</v>
      </c>
      <c r="D191" t="s">
        <v>15</v>
      </c>
      <c r="E191" t="s">
        <v>190</v>
      </c>
      <c r="F191" t="s">
        <v>195</v>
      </c>
      <c r="G191" t="s">
        <v>192</v>
      </c>
      <c r="H191" s="1">
        <v>45295</v>
      </c>
      <c r="I191" s="1">
        <v>45325</v>
      </c>
      <c r="J191" s="3">
        <v>15273.44</v>
      </c>
      <c r="K191" s="4">
        <f t="shared" si="15"/>
        <v>30</v>
      </c>
      <c r="L191" t="str">
        <f t="shared" si="14"/>
        <v>Jan</v>
      </c>
      <c r="M191">
        <f t="shared" ref="M191:M254" si="16">YEAR(H191)</f>
        <v>2024</v>
      </c>
      <c r="N191">
        <f t="shared" ref="N191:N254" si="17">DATEDIF(C191, H191, "Y")</f>
        <v>80</v>
      </c>
    </row>
    <row r="192" spans="1:14" x14ac:dyDescent="0.3">
      <c r="A192" t="s">
        <v>442</v>
      </c>
      <c r="B192" t="s">
        <v>443</v>
      </c>
      <c r="C192" s="1">
        <v>12381</v>
      </c>
      <c r="D192" t="s">
        <v>21</v>
      </c>
      <c r="E192" t="s">
        <v>294</v>
      </c>
      <c r="F192" t="s">
        <v>95</v>
      </c>
      <c r="G192" t="s">
        <v>410</v>
      </c>
      <c r="H192" s="1">
        <v>45176</v>
      </c>
      <c r="I192" s="1">
        <v>45187</v>
      </c>
      <c r="J192" s="3">
        <v>15263.7</v>
      </c>
      <c r="K192" s="4">
        <f t="shared" si="15"/>
        <v>11</v>
      </c>
      <c r="L192" t="str">
        <f t="shared" si="14"/>
        <v>Sep</v>
      </c>
      <c r="M192">
        <f t="shared" si="16"/>
        <v>2023</v>
      </c>
      <c r="N192">
        <f t="shared" si="17"/>
        <v>89</v>
      </c>
    </row>
    <row r="193" spans="1:14" x14ac:dyDescent="0.3">
      <c r="A193" t="s">
        <v>444</v>
      </c>
      <c r="B193" t="s">
        <v>445</v>
      </c>
      <c r="C193" s="1">
        <v>40706</v>
      </c>
      <c r="D193" t="s">
        <v>15</v>
      </c>
      <c r="E193" t="s">
        <v>2143</v>
      </c>
      <c r="F193" t="s">
        <v>84</v>
      </c>
      <c r="G193" t="s">
        <v>324</v>
      </c>
      <c r="H193" s="1">
        <v>45063</v>
      </c>
      <c r="I193" s="1">
        <v>45092</v>
      </c>
      <c r="J193" s="3">
        <v>15241.36</v>
      </c>
      <c r="K193" s="4">
        <f xml:space="preserve"> I193-H193</f>
        <v>29</v>
      </c>
      <c r="L193" t="str">
        <f t="shared" si="14"/>
        <v>May</v>
      </c>
      <c r="M193">
        <f t="shared" si="16"/>
        <v>2023</v>
      </c>
      <c r="N193">
        <f t="shared" si="17"/>
        <v>11</v>
      </c>
    </row>
    <row r="194" spans="1:14" x14ac:dyDescent="0.3">
      <c r="A194" t="s">
        <v>446</v>
      </c>
      <c r="B194" t="s">
        <v>447</v>
      </c>
      <c r="C194" s="1">
        <v>32033</v>
      </c>
      <c r="D194" t="s">
        <v>21</v>
      </c>
      <c r="E194" t="s">
        <v>190</v>
      </c>
      <c r="F194" t="s">
        <v>191</v>
      </c>
      <c r="G194" t="s">
        <v>245</v>
      </c>
      <c r="H194" s="1">
        <v>44942</v>
      </c>
      <c r="I194" s="1">
        <v>44948</v>
      </c>
      <c r="J194" s="3">
        <v>15077.03</v>
      </c>
      <c r="K194" s="4">
        <f t="shared" ref="K194:K257" si="18" xml:space="preserve"> I194-H194</f>
        <v>6</v>
      </c>
      <c r="L194" t="str">
        <f t="shared" si="14"/>
        <v>Jan</v>
      </c>
      <c r="M194">
        <f t="shared" si="16"/>
        <v>2023</v>
      </c>
      <c r="N194">
        <f t="shared" si="17"/>
        <v>35</v>
      </c>
    </row>
    <row r="195" spans="1:14" x14ac:dyDescent="0.3">
      <c r="A195" t="s">
        <v>448</v>
      </c>
      <c r="B195" t="s">
        <v>449</v>
      </c>
      <c r="C195" s="1">
        <v>15970</v>
      </c>
      <c r="D195" t="s">
        <v>21</v>
      </c>
      <c r="E195" t="s">
        <v>294</v>
      </c>
      <c r="F195" t="s">
        <v>385</v>
      </c>
      <c r="G195" t="s">
        <v>296</v>
      </c>
      <c r="H195" s="1">
        <v>45096</v>
      </c>
      <c r="I195" s="1">
        <v>45126</v>
      </c>
      <c r="J195" s="3">
        <v>14987.34</v>
      </c>
      <c r="K195" s="4">
        <f t="shared" si="18"/>
        <v>30</v>
      </c>
      <c r="L195" t="str">
        <f t="shared" si="14"/>
        <v>Jun</v>
      </c>
      <c r="M195">
        <f t="shared" si="16"/>
        <v>2023</v>
      </c>
      <c r="N195">
        <f t="shared" si="17"/>
        <v>79</v>
      </c>
    </row>
    <row r="196" spans="1:14" x14ac:dyDescent="0.3">
      <c r="A196" t="s">
        <v>450</v>
      </c>
      <c r="B196" t="s">
        <v>451</v>
      </c>
      <c r="C196" s="1">
        <v>17249</v>
      </c>
      <c r="D196" t="s">
        <v>21</v>
      </c>
      <c r="E196" t="s">
        <v>2143</v>
      </c>
      <c r="F196" t="s">
        <v>84</v>
      </c>
      <c r="G196" t="s">
        <v>324</v>
      </c>
      <c r="H196" s="1">
        <v>44964</v>
      </c>
      <c r="I196" s="1">
        <v>44981</v>
      </c>
      <c r="J196" s="3">
        <v>14921.84</v>
      </c>
      <c r="K196" s="4">
        <f t="shared" si="18"/>
        <v>17</v>
      </c>
      <c r="L196" t="str">
        <f t="shared" si="14"/>
        <v>Feb</v>
      </c>
      <c r="M196">
        <f t="shared" si="16"/>
        <v>2023</v>
      </c>
      <c r="N196">
        <f t="shared" si="17"/>
        <v>75</v>
      </c>
    </row>
    <row r="197" spans="1:14" x14ac:dyDescent="0.3">
      <c r="A197" t="s">
        <v>452</v>
      </c>
      <c r="B197" t="s">
        <v>453</v>
      </c>
      <c r="C197" s="1">
        <v>23130</v>
      </c>
      <c r="D197" t="s">
        <v>21</v>
      </c>
      <c r="E197" t="s">
        <v>2145</v>
      </c>
      <c r="F197" t="s">
        <v>84</v>
      </c>
      <c r="G197" t="s">
        <v>69</v>
      </c>
      <c r="H197" s="1">
        <v>45230</v>
      </c>
      <c r="I197" s="1">
        <v>45250</v>
      </c>
      <c r="J197" s="3">
        <v>14910.1</v>
      </c>
      <c r="K197" s="4">
        <f t="shared" si="18"/>
        <v>20</v>
      </c>
      <c r="L197" t="str">
        <f t="shared" si="14"/>
        <v>Oct</v>
      </c>
      <c r="M197">
        <f t="shared" si="16"/>
        <v>2023</v>
      </c>
      <c r="N197">
        <f t="shared" si="17"/>
        <v>60</v>
      </c>
    </row>
    <row r="198" spans="1:14" x14ac:dyDescent="0.3">
      <c r="A198" t="s">
        <v>454</v>
      </c>
      <c r="B198" t="s">
        <v>455</v>
      </c>
      <c r="C198" s="1">
        <v>31415</v>
      </c>
      <c r="D198" t="s">
        <v>15</v>
      </c>
      <c r="E198" t="s">
        <v>2143</v>
      </c>
      <c r="F198" t="s">
        <v>84</v>
      </c>
      <c r="G198" t="s">
        <v>380</v>
      </c>
      <c r="H198" s="1">
        <v>44684</v>
      </c>
      <c r="I198" s="1">
        <v>44699</v>
      </c>
      <c r="J198" s="3">
        <v>14838.71</v>
      </c>
      <c r="K198" s="4">
        <f t="shared" si="18"/>
        <v>15</v>
      </c>
      <c r="L198" t="str">
        <f t="shared" si="14"/>
        <v>May</v>
      </c>
      <c r="M198">
        <f t="shared" si="16"/>
        <v>2022</v>
      </c>
      <c r="N198">
        <f t="shared" si="17"/>
        <v>36</v>
      </c>
    </row>
    <row r="199" spans="1:14" x14ac:dyDescent="0.3">
      <c r="A199" t="s">
        <v>456</v>
      </c>
      <c r="B199" t="s">
        <v>457</v>
      </c>
      <c r="C199" s="1">
        <v>13020</v>
      </c>
      <c r="D199" t="s">
        <v>21</v>
      </c>
      <c r="E199" t="s">
        <v>2141</v>
      </c>
      <c r="F199" t="s">
        <v>84</v>
      </c>
      <c r="G199" t="s">
        <v>299</v>
      </c>
      <c r="H199" s="1">
        <v>44950</v>
      </c>
      <c r="I199" s="1">
        <v>44973</v>
      </c>
      <c r="J199" s="3">
        <v>14836.84</v>
      </c>
      <c r="K199" s="4">
        <f t="shared" si="18"/>
        <v>23</v>
      </c>
      <c r="L199" t="str">
        <f t="shared" si="14"/>
        <v>Jan</v>
      </c>
      <c r="M199">
        <f t="shared" si="16"/>
        <v>2023</v>
      </c>
      <c r="N199">
        <f t="shared" si="17"/>
        <v>87</v>
      </c>
    </row>
    <row r="200" spans="1:14" x14ac:dyDescent="0.3">
      <c r="A200" t="s">
        <v>458</v>
      </c>
      <c r="B200" t="s">
        <v>459</v>
      </c>
      <c r="C200" s="1">
        <v>18522</v>
      </c>
      <c r="D200" t="s">
        <v>15</v>
      </c>
      <c r="E200" t="s">
        <v>2141</v>
      </c>
      <c r="F200" t="s">
        <v>286</v>
      </c>
      <c r="G200" t="s">
        <v>299</v>
      </c>
      <c r="H200" s="1">
        <v>44608</v>
      </c>
      <c r="I200" s="1">
        <v>44633</v>
      </c>
      <c r="J200" s="3">
        <v>14826.91</v>
      </c>
      <c r="K200" s="4">
        <f t="shared" si="18"/>
        <v>25</v>
      </c>
      <c r="L200" t="str">
        <f t="shared" si="14"/>
        <v>Feb</v>
      </c>
      <c r="M200">
        <f t="shared" si="16"/>
        <v>2022</v>
      </c>
      <c r="N200">
        <f t="shared" si="17"/>
        <v>71</v>
      </c>
    </row>
    <row r="201" spans="1:14" x14ac:dyDescent="0.3">
      <c r="A201" t="s">
        <v>460</v>
      </c>
      <c r="B201" t="s">
        <v>461</v>
      </c>
      <c r="C201" s="1">
        <v>20620</v>
      </c>
      <c r="D201" t="s">
        <v>15</v>
      </c>
      <c r="E201" t="s">
        <v>2141</v>
      </c>
      <c r="F201" t="s">
        <v>84</v>
      </c>
      <c r="G201" t="s">
        <v>357</v>
      </c>
      <c r="H201" s="1">
        <v>44690</v>
      </c>
      <c r="I201" s="1">
        <v>44718</v>
      </c>
      <c r="J201" s="3">
        <v>14759.68</v>
      </c>
      <c r="K201" s="4">
        <f t="shared" si="18"/>
        <v>28</v>
      </c>
      <c r="L201" t="str">
        <f t="shared" si="14"/>
        <v>May</v>
      </c>
      <c r="M201">
        <f t="shared" si="16"/>
        <v>2022</v>
      </c>
      <c r="N201">
        <f t="shared" si="17"/>
        <v>65</v>
      </c>
    </row>
    <row r="202" spans="1:14" x14ac:dyDescent="0.3">
      <c r="A202" t="s">
        <v>462</v>
      </c>
      <c r="B202" t="s">
        <v>463</v>
      </c>
      <c r="C202" s="1">
        <v>21865</v>
      </c>
      <c r="D202" t="s">
        <v>15</v>
      </c>
      <c r="E202" t="s">
        <v>190</v>
      </c>
      <c r="F202" t="s">
        <v>195</v>
      </c>
      <c r="G202" t="s">
        <v>192</v>
      </c>
      <c r="H202" s="1">
        <v>45319</v>
      </c>
      <c r="I202" s="1">
        <v>45336</v>
      </c>
      <c r="J202" s="3">
        <v>14717.69</v>
      </c>
      <c r="K202" s="4">
        <f t="shared" si="18"/>
        <v>17</v>
      </c>
      <c r="L202" t="str">
        <f t="shared" si="14"/>
        <v>Jan</v>
      </c>
      <c r="M202">
        <f t="shared" si="16"/>
        <v>2024</v>
      </c>
      <c r="N202">
        <f t="shared" si="17"/>
        <v>64</v>
      </c>
    </row>
    <row r="203" spans="1:14" x14ac:dyDescent="0.3">
      <c r="A203" t="s">
        <v>464</v>
      </c>
      <c r="B203" t="s">
        <v>465</v>
      </c>
      <c r="C203" s="1">
        <v>10802</v>
      </c>
      <c r="D203" t="s">
        <v>21</v>
      </c>
      <c r="E203" t="s">
        <v>2143</v>
      </c>
      <c r="F203" t="s">
        <v>191</v>
      </c>
      <c r="G203" t="s">
        <v>324</v>
      </c>
      <c r="H203" s="1">
        <v>44823</v>
      </c>
      <c r="I203" s="1">
        <v>44831</v>
      </c>
      <c r="J203" s="3">
        <v>14698.99</v>
      </c>
      <c r="K203" s="4">
        <f t="shared" si="18"/>
        <v>8</v>
      </c>
      <c r="L203" t="str">
        <f t="shared" si="14"/>
        <v>Sep</v>
      </c>
      <c r="M203">
        <f t="shared" si="16"/>
        <v>2022</v>
      </c>
      <c r="N203">
        <f t="shared" si="17"/>
        <v>93</v>
      </c>
    </row>
    <row r="204" spans="1:14" x14ac:dyDescent="0.3">
      <c r="A204" t="s">
        <v>466</v>
      </c>
      <c r="B204" t="s">
        <v>467</v>
      </c>
      <c r="C204" s="1">
        <v>44293</v>
      </c>
      <c r="D204" t="s">
        <v>15</v>
      </c>
      <c r="E204" t="s">
        <v>2145</v>
      </c>
      <c r="F204" t="s">
        <v>68</v>
      </c>
      <c r="G204" t="s">
        <v>85</v>
      </c>
      <c r="H204" s="1">
        <v>44690</v>
      </c>
      <c r="I204" s="1">
        <v>44713</v>
      </c>
      <c r="J204" s="3">
        <v>14693.26</v>
      </c>
      <c r="K204" s="4">
        <f t="shared" si="18"/>
        <v>23</v>
      </c>
      <c r="L204" t="str">
        <f t="shared" si="14"/>
        <v>May</v>
      </c>
      <c r="M204">
        <f t="shared" si="16"/>
        <v>2022</v>
      </c>
      <c r="N204">
        <f t="shared" si="17"/>
        <v>1</v>
      </c>
    </row>
    <row r="205" spans="1:14" x14ac:dyDescent="0.3">
      <c r="A205" t="s">
        <v>468</v>
      </c>
      <c r="B205" t="s">
        <v>469</v>
      </c>
      <c r="C205" s="1">
        <v>32420</v>
      </c>
      <c r="D205" t="s">
        <v>21</v>
      </c>
      <c r="E205" t="s">
        <v>190</v>
      </c>
      <c r="F205" t="s">
        <v>195</v>
      </c>
      <c r="G205" t="s">
        <v>192</v>
      </c>
      <c r="H205" s="1">
        <v>45416</v>
      </c>
      <c r="I205" s="1">
        <v>45419</v>
      </c>
      <c r="J205" s="3">
        <v>14652.14</v>
      </c>
      <c r="K205" s="4">
        <f t="shared" si="18"/>
        <v>3</v>
      </c>
      <c r="L205" t="str">
        <f t="shared" si="14"/>
        <v>May</v>
      </c>
      <c r="M205">
        <f t="shared" si="16"/>
        <v>2024</v>
      </c>
      <c r="N205">
        <f t="shared" si="17"/>
        <v>35</v>
      </c>
    </row>
    <row r="206" spans="1:14" x14ac:dyDescent="0.3">
      <c r="A206" t="s">
        <v>470</v>
      </c>
      <c r="B206" t="s">
        <v>471</v>
      </c>
      <c r="C206" s="1">
        <v>26024</v>
      </c>
      <c r="D206" t="s">
        <v>15</v>
      </c>
      <c r="E206" t="s">
        <v>2142</v>
      </c>
      <c r="F206" t="s">
        <v>84</v>
      </c>
      <c r="G206" t="s">
        <v>302</v>
      </c>
      <c r="H206" s="1">
        <v>44389</v>
      </c>
      <c r="I206" s="1">
        <v>44390</v>
      </c>
      <c r="J206" s="3">
        <v>14651.34</v>
      </c>
      <c r="K206" s="4">
        <f t="shared" si="18"/>
        <v>1</v>
      </c>
      <c r="L206" t="str">
        <f t="shared" si="14"/>
        <v>Jul</v>
      </c>
      <c r="M206">
        <f t="shared" si="16"/>
        <v>2021</v>
      </c>
      <c r="N206">
        <f t="shared" si="17"/>
        <v>50</v>
      </c>
    </row>
    <row r="207" spans="1:14" x14ac:dyDescent="0.3">
      <c r="A207" t="s">
        <v>472</v>
      </c>
      <c r="B207" t="s">
        <v>473</v>
      </c>
      <c r="C207" s="1">
        <v>36589</v>
      </c>
      <c r="D207" t="s">
        <v>15</v>
      </c>
      <c r="E207" t="s">
        <v>72</v>
      </c>
      <c r="F207" t="s">
        <v>84</v>
      </c>
      <c r="G207" t="s">
        <v>73</v>
      </c>
      <c r="H207" s="1">
        <v>44477</v>
      </c>
      <c r="I207" s="1">
        <v>44499</v>
      </c>
      <c r="J207" s="3">
        <v>14544.14</v>
      </c>
      <c r="K207" s="4">
        <f t="shared" si="18"/>
        <v>22</v>
      </c>
      <c r="L207" t="str">
        <f t="shared" si="14"/>
        <v>Oct</v>
      </c>
      <c r="M207">
        <f t="shared" si="16"/>
        <v>2021</v>
      </c>
      <c r="N207">
        <f t="shared" si="17"/>
        <v>21</v>
      </c>
    </row>
    <row r="208" spans="1:14" x14ac:dyDescent="0.3">
      <c r="A208" t="s">
        <v>474</v>
      </c>
      <c r="B208" t="s">
        <v>475</v>
      </c>
      <c r="C208" s="1">
        <v>21376</v>
      </c>
      <c r="D208" t="s">
        <v>21</v>
      </c>
      <c r="E208" t="s">
        <v>2143</v>
      </c>
      <c r="F208" t="s">
        <v>191</v>
      </c>
      <c r="G208" t="s">
        <v>476</v>
      </c>
      <c r="H208" s="1">
        <v>45015</v>
      </c>
      <c r="I208" s="1">
        <v>45034</v>
      </c>
      <c r="J208" s="3">
        <v>14530.3</v>
      </c>
      <c r="K208" s="4">
        <f t="shared" si="18"/>
        <v>19</v>
      </c>
      <c r="L208" t="str">
        <f t="shared" si="14"/>
        <v>Mar</v>
      </c>
      <c r="M208">
        <f t="shared" si="16"/>
        <v>2023</v>
      </c>
      <c r="N208">
        <f t="shared" si="17"/>
        <v>64</v>
      </c>
    </row>
    <row r="209" spans="1:14" x14ac:dyDescent="0.3">
      <c r="A209" t="s">
        <v>477</v>
      </c>
      <c r="B209" t="s">
        <v>478</v>
      </c>
      <c r="C209" s="1">
        <v>33429</v>
      </c>
      <c r="D209" t="s">
        <v>15</v>
      </c>
      <c r="E209" t="s">
        <v>2143</v>
      </c>
      <c r="F209" t="s">
        <v>191</v>
      </c>
      <c r="G209" t="s">
        <v>324</v>
      </c>
      <c r="H209" s="1">
        <v>44842</v>
      </c>
      <c r="I209" s="1">
        <v>44859</v>
      </c>
      <c r="J209" s="3">
        <v>14439.9</v>
      </c>
      <c r="K209" s="4">
        <f t="shared" si="18"/>
        <v>17</v>
      </c>
      <c r="L209" t="str">
        <f t="shared" si="14"/>
        <v>Oct</v>
      </c>
      <c r="M209">
        <f t="shared" si="16"/>
        <v>2022</v>
      </c>
      <c r="N209">
        <f t="shared" si="17"/>
        <v>31</v>
      </c>
    </row>
    <row r="210" spans="1:14" x14ac:dyDescent="0.3">
      <c r="A210" t="s">
        <v>479</v>
      </c>
      <c r="B210" t="s">
        <v>480</v>
      </c>
      <c r="C210" s="1">
        <v>44776</v>
      </c>
      <c r="D210" t="s">
        <v>21</v>
      </c>
      <c r="E210" t="s">
        <v>481</v>
      </c>
      <c r="F210" t="s">
        <v>17</v>
      </c>
      <c r="G210" t="s">
        <v>482</v>
      </c>
      <c r="H210" s="1">
        <v>44806</v>
      </c>
      <c r="I210" s="1">
        <v>44826</v>
      </c>
      <c r="J210" s="3">
        <v>14405.82</v>
      </c>
      <c r="K210" s="4">
        <f t="shared" si="18"/>
        <v>20</v>
      </c>
      <c r="L210" t="str">
        <f t="shared" si="14"/>
        <v>Sep</v>
      </c>
      <c r="M210">
        <f t="shared" si="16"/>
        <v>2022</v>
      </c>
      <c r="N210">
        <f t="shared" si="17"/>
        <v>0</v>
      </c>
    </row>
    <row r="211" spans="1:14" x14ac:dyDescent="0.3">
      <c r="A211" t="s">
        <v>483</v>
      </c>
      <c r="B211" t="s">
        <v>484</v>
      </c>
      <c r="C211" s="1">
        <v>20059</v>
      </c>
      <c r="D211" t="s">
        <v>21</v>
      </c>
      <c r="E211" t="s">
        <v>79</v>
      </c>
      <c r="F211" t="s">
        <v>91</v>
      </c>
      <c r="G211" t="s">
        <v>117</v>
      </c>
      <c r="H211" s="1">
        <v>44976</v>
      </c>
      <c r="I211" s="1">
        <v>45005</v>
      </c>
      <c r="J211" s="3">
        <v>14389.28</v>
      </c>
      <c r="K211" s="4">
        <f t="shared" si="18"/>
        <v>29</v>
      </c>
      <c r="L211" t="str">
        <f t="shared" si="14"/>
        <v>Feb</v>
      </c>
      <c r="M211">
        <f t="shared" si="16"/>
        <v>2023</v>
      </c>
      <c r="N211">
        <f t="shared" si="17"/>
        <v>68</v>
      </c>
    </row>
    <row r="212" spans="1:14" x14ac:dyDescent="0.3">
      <c r="A212" t="s">
        <v>485</v>
      </c>
      <c r="B212" t="s">
        <v>486</v>
      </c>
      <c r="C212" s="1">
        <v>34063</v>
      </c>
      <c r="D212" t="s">
        <v>15</v>
      </c>
      <c r="E212" t="s">
        <v>2141</v>
      </c>
      <c r="F212" t="s">
        <v>286</v>
      </c>
      <c r="G212" t="s">
        <v>299</v>
      </c>
      <c r="H212" s="1">
        <v>45468</v>
      </c>
      <c r="I212" s="1">
        <v>45483</v>
      </c>
      <c r="J212" s="3">
        <v>14298.62</v>
      </c>
      <c r="K212" s="4">
        <f t="shared" si="18"/>
        <v>15</v>
      </c>
      <c r="L212" t="str">
        <f t="shared" si="14"/>
        <v>Jun</v>
      </c>
      <c r="M212">
        <f t="shared" si="16"/>
        <v>2024</v>
      </c>
      <c r="N212">
        <f t="shared" si="17"/>
        <v>31</v>
      </c>
    </row>
    <row r="213" spans="1:14" x14ac:dyDescent="0.3">
      <c r="A213" t="s">
        <v>487</v>
      </c>
      <c r="B213" t="s">
        <v>488</v>
      </c>
      <c r="C213" s="1">
        <v>10072</v>
      </c>
      <c r="D213" t="s">
        <v>15</v>
      </c>
      <c r="E213" t="s">
        <v>294</v>
      </c>
      <c r="F213" t="s">
        <v>95</v>
      </c>
      <c r="G213" t="s">
        <v>311</v>
      </c>
      <c r="H213" s="1">
        <v>44967</v>
      </c>
      <c r="I213" s="1">
        <v>44992</v>
      </c>
      <c r="J213" s="3">
        <v>14290.38</v>
      </c>
      <c r="K213" s="4">
        <f t="shared" si="18"/>
        <v>25</v>
      </c>
      <c r="L213" t="str">
        <f t="shared" si="14"/>
        <v>Feb</v>
      </c>
      <c r="M213">
        <f t="shared" si="16"/>
        <v>2023</v>
      </c>
      <c r="N213">
        <f t="shared" si="17"/>
        <v>95</v>
      </c>
    </row>
    <row r="214" spans="1:14" x14ac:dyDescent="0.3">
      <c r="A214" t="s">
        <v>489</v>
      </c>
      <c r="B214" t="s">
        <v>490</v>
      </c>
      <c r="C214" s="1">
        <v>17777</v>
      </c>
      <c r="D214" t="s">
        <v>21</v>
      </c>
      <c r="E214" t="s">
        <v>2146</v>
      </c>
      <c r="F214" t="s">
        <v>84</v>
      </c>
      <c r="G214" t="s">
        <v>427</v>
      </c>
      <c r="H214" s="1">
        <v>44499</v>
      </c>
      <c r="I214" s="1">
        <v>44519</v>
      </c>
      <c r="J214" s="3">
        <v>14195.56</v>
      </c>
      <c r="K214" s="4">
        <f t="shared" si="18"/>
        <v>20</v>
      </c>
      <c r="L214" t="str">
        <f t="shared" si="14"/>
        <v>Oct</v>
      </c>
      <c r="M214">
        <f t="shared" si="16"/>
        <v>2021</v>
      </c>
      <c r="N214">
        <f t="shared" si="17"/>
        <v>73</v>
      </c>
    </row>
    <row r="215" spans="1:14" x14ac:dyDescent="0.3">
      <c r="A215" t="s">
        <v>491</v>
      </c>
      <c r="B215" t="s">
        <v>492</v>
      </c>
      <c r="C215" s="1">
        <v>23714</v>
      </c>
      <c r="D215" t="s">
        <v>15</v>
      </c>
      <c r="E215" t="s">
        <v>2143</v>
      </c>
      <c r="F215" t="s">
        <v>84</v>
      </c>
      <c r="G215" t="s">
        <v>476</v>
      </c>
      <c r="H215" s="1">
        <v>45056</v>
      </c>
      <c r="I215" s="1">
        <v>45079</v>
      </c>
      <c r="J215" s="3">
        <v>14147.35</v>
      </c>
      <c r="K215" s="4">
        <f t="shared" si="18"/>
        <v>23</v>
      </c>
      <c r="L215" t="str">
        <f t="shared" si="14"/>
        <v>May</v>
      </c>
      <c r="M215">
        <f t="shared" si="16"/>
        <v>2023</v>
      </c>
      <c r="N215">
        <f t="shared" si="17"/>
        <v>58</v>
      </c>
    </row>
    <row r="216" spans="1:14" x14ac:dyDescent="0.3">
      <c r="A216" t="s">
        <v>493</v>
      </c>
      <c r="B216" t="s">
        <v>494</v>
      </c>
      <c r="C216" s="1">
        <v>41811</v>
      </c>
      <c r="D216" t="s">
        <v>15</v>
      </c>
      <c r="E216" t="s">
        <v>481</v>
      </c>
      <c r="F216" t="s">
        <v>17</v>
      </c>
      <c r="G216" t="s">
        <v>495</v>
      </c>
      <c r="H216" s="1">
        <v>45034</v>
      </c>
      <c r="I216" s="1">
        <v>45039</v>
      </c>
      <c r="J216" s="3">
        <v>14080.25</v>
      </c>
      <c r="K216" s="4">
        <f t="shared" si="18"/>
        <v>5</v>
      </c>
      <c r="L216" t="str">
        <f t="shared" si="14"/>
        <v>Apr</v>
      </c>
      <c r="M216">
        <f t="shared" si="16"/>
        <v>2023</v>
      </c>
      <c r="N216">
        <f t="shared" si="17"/>
        <v>8</v>
      </c>
    </row>
    <row r="217" spans="1:14" x14ac:dyDescent="0.3">
      <c r="A217" t="s">
        <v>496</v>
      </c>
      <c r="B217" t="s">
        <v>497</v>
      </c>
      <c r="C217" s="1">
        <v>38959</v>
      </c>
      <c r="D217" t="s">
        <v>21</v>
      </c>
      <c r="E217" t="s">
        <v>2145</v>
      </c>
      <c r="F217" t="s">
        <v>84</v>
      </c>
      <c r="G217" t="s">
        <v>85</v>
      </c>
      <c r="H217" s="1">
        <v>44504</v>
      </c>
      <c r="I217" s="1">
        <v>44505</v>
      </c>
      <c r="J217" s="3">
        <v>14070.18</v>
      </c>
      <c r="K217" s="4">
        <f t="shared" si="18"/>
        <v>1</v>
      </c>
      <c r="L217" t="str">
        <f t="shared" si="14"/>
        <v>Nov</v>
      </c>
      <c r="M217">
        <f t="shared" si="16"/>
        <v>2021</v>
      </c>
      <c r="N217">
        <f t="shared" si="17"/>
        <v>15</v>
      </c>
    </row>
    <row r="218" spans="1:14" x14ac:dyDescent="0.3">
      <c r="A218" t="s">
        <v>498</v>
      </c>
      <c r="B218" t="s">
        <v>499</v>
      </c>
      <c r="C218" s="1">
        <v>33988</v>
      </c>
      <c r="D218" t="s">
        <v>15</v>
      </c>
      <c r="E218" t="s">
        <v>2145</v>
      </c>
      <c r="F218" t="s">
        <v>68</v>
      </c>
      <c r="G218" t="s">
        <v>85</v>
      </c>
      <c r="H218" s="1">
        <v>45269</v>
      </c>
      <c r="I218" s="1">
        <v>45299</v>
      </c>
      <c r="J218" s="3">
        <v>14012.47</v>
      </c>
      <c r="K218" s="4">
        <f t="shared" si="18"/>
        <v>30</v>
      </c>
      <c r="L218" t="str">
        <f t="shared" si="14"/>
        <v>Dec</v>
      </c>
      <c r="M218">
        <f t="shared" si="16"/>
        <v>2023</v>
      </c>
      <c r="N218">
        <f t="shared" si="17"/>
        <v>30</v>
      </c>
    </row>
    <row r="219" spans="1:14" x14ac:dyDescent="0.3">
      <c r="A219" t="s">
        <v>500</v>
      </c>
      <c r="B219" t="s">
        <v>501</v>
      </c>
      <c r="C219" s="1">
        <v>41632</v>
      </c>
      <c r="D219" t="s">
        <v>15</v>
      </c>
      <c r="E219" t="s">
        <v>2145</v>
      </c>
      <c r="F219" t="s">
        <v>84</v>
      </c>
      <c r="G219" t="s">
        <v>85</v>
      </c>
      <c r="H219" s="1">
        <v>44465</v>
      </c>
      <c r="I219" s="1">
        <v>44482</v>
      </c>
      <c r="J219" s="3">
        <v>14011.74</v>
      </c>
      <c r="K219" s="4">
        <f t="shared" si="18"/>
        <v>17</v>
      </c>
      <c r="L219" t="str">
        <f t="shared" si="14"/>
        <v>Sep</v>
      </c>
      <c r="M219">
        <f t="shared" si="16"/>
        <v>2021</v>
      </c>
      <c r="N219">
        <f t="shared" si="17"/>
        <v>7</v>
      </c>
    </row>
    <row r="220" spans="1:14" x14ac:dyDescent="0.3">
      <c r="A220" t="s">
        <v>502</v>
      </c>
      <c r="B220" t="s">
        <v>503</v>
      </c>
      <c r="C220" s="1">
        <v>8930</v>
      </c>
      <c r="D220" t="s">
        <v>21</v>
      </c>
      <c r="E220" t="s">
        <v>481</v>
      </c>
      <c r="F220" t="s">
        <v>17</v>
      </c>
      <c r="G220" t="s">
        <v>482</v>
      </c>
      <c r="H220" s="1">
        <v>45046</v>
      </c>
      <c r="I220" s="1">
        <v>45061</v>
      </c>
      <c r="J220" s="3">
        <v>13960.12</v>
      </c>
      <c r="K220" s="4">
        <f t="shared" si="18"/>
        <v>15</v>
      </c>
      <c r="L220" t="str">
        <f t="shared" si="14"/>
        <v>Apr</v>
      </c>
      <c r="M220">
        <f t="shared" si="16"/>
        <v>2023</v>
      </c>
      <c r="N220">
        <f t="shared" si="17"/>
        <v>98</v>
      </c>
    </row>
    <row r="221" spans="1:14" x14ac:dyDescent="0.3">
      <c r="A221" t="s">
        <v>504</v>
      </c>
      <c r="B221" t="s">
        <v>505</v>
      </c>
      <c r="C221" s="1">
        <v>31456</v>
      </c>
      <c r="D221" t="s">
        <v>21</v>
      </c>
      <c r="E221" t="s">
        <v>481</v>
      </c>
      <c r="F221" t="s">
        <v>84</v>
      </c>
      <c r="G221" t="s">
        <v>506</v>
      </c>
      <c r="H221" s="1">
        <v>44529</v>
      </c>
      <c r="I221" s="1">
        <v>44557</v>
      </c>
      <c r="J221" s="3">
        <v>13924.19</v>
      </c>
      <c r="K221" s="4">
        <f t="shared" si="18"/>
        <v>28</v>
      </c>
      <c r="L221" t="str">
        <f t="shared" si="14"/>
        <v>Nov</v>
      </c>
      <c r="M221">
        <f t="shared" si="16"/>
        <v>2021</v>
      </c>
      <c r="N221">
        <f t="shared" si="17"/>
        <v>35</v>
      </c>
    </row>
    <row r="222" spans="1:14" x14ac:dyDescent="0.3">
      <c r="A222" t="s">
        <v>507</v>
      </c>
      <c r="B222" t="s">
        <v>508</v>
      </c>
      <c r="C222" s="1">
        <v>44096</v>
      </c>
      <c r="D222" t="s">
        <v>15</v>
      </c>
      <c r="E222" t="s">
        <v>190</v>
      </c>
      <c r="F222" t="s">
        <v>195</v>
      </c>
      <c r="G222" t="s">
        <v>200</v>
      </c>
      <c r="H222" s="1">
        <v>44394</v>
      </c>
      <c r="I222" s="1">
        <v>44416</v>
      </c>
      <c r="J222" s="3">
        <v>13922.34</v>
      </c>
      <c r="K222" s="4">
        <f t="shared" si="18"/>
        <v>22</v>
      </c>
      <c r="L222" t="str">
        <f t="shared" si="14"/>
        <v>Jul</v>
      </c>
      <c r="M222">
        <f t="shared" si="16"/>
        <v>2021</v>
      </c>
      <c r="N222">
        <f t="shared" si="17"/>
        <v>0</v>
      </c>
    </row>
    <row r="223" spans="1:14" x14ac:dyDescent="0.3">
      <c r="A223" t="s">
        <v>509</v>
      </c>
      <c r="B223" t="s">
        <v>510</v>
      </c>
      <c r="C223" s="1">
        <v>34785</v>
      </c>
      <c r="D223" t="s">
        <v>15</v>
      </c>
      <c r="E223" t="s">
        <v>190</v>
      </c>
      <c r="F223" t="s">
        <v>195</v>
      </c>
      <c r="G223" t="s">
        <v>192</v>
      </c>
      <c r="H223" s="1">
        <v>44942</v>
      </c>
      <c r="I223" s="1">
        <v>44944</v>
      </c>
      <c r="J223" s="3">
        <v>13911.1</v>
      </c>
      <c r="K223" s="4">
        <f t="shared" si="18"/>
        <v>2</v>
      </c>
      <c r="L223" t="str">
        <f t="shared" si="14"/>
        <v>Jan</v>
      </c>
      <c r="M223">
        <f t="shared" si="16"/>
        <v>2023</v>
      </c>
      <c r="N223">
        <f t="shared" si="17"/>
        <v>27</v>
      </c>
    </row>
    <row r="224" spans="1:14" x14ac:dyDescent="0.3">
      <c r="A224" t="s">
        <v>511</v>
      </c>
      <c r="B224" t="s">
        <v>512</v>
      </c>
      <c r="C224" s="1">
        <v>8702</v>
      </c>
      <c r="D224" t="s">
        <v>15</v>
      </c>
      <c r="E224" t="s">
        <v>190</v>
      </c>
      <c r="F224" t="s">
        <v>195</v>
      </c>
      <c r="G224" t="s">
        <v>245</v>
      </c>
      <c r="H224" s="1">
        <v>45372</v>
      </c>
      <c r="I224" s="1">
        <v>45377</v>
      </c>
      <c r="J224" s="3">
        <v>13880.93</v>
      </c>
      <c r="K224" s="4">
        <f t="shared" si="18"/>
        <v>5</v>
      </c>
      <c r="L224" t="str">
        <f t="shared" si="14"/>
        <v>Mar</v>
      </c>
      <c r="M224">
        <f t="shared" si="16"/>
        <v>2024</v>
      </c>
      <c r="N224">
        <f t="shared" si="17"/>
        <v>100</v>
      </c>
    </row>
    <row r="225" spans="1:14" x14ac:dyDescent="0.3">
      <c r="A225" t="s">
        <v>513</v>
      </c>
      <c r="B225" t="s">
        <v>514</v>
      </c>
      <c r="C225" s="1">
        <v>18159</v>
      </c>
      <c r="D225" t="s">
        <v>15</v>
      </c>
      <c r="E225" t="s">
        <v>481</v>
      </c>
      <c r="F225" t="s">
        <v>84</v>
      </c>
      <c r="G225" t="s">
        <v>495</v>
      </c>
      <c r="H225" s="1">
        <v>44694</v>
      </c>
      <c r="I225" s="1">
        <v>44695</v>
      </c>
      <c r="J225" s="3">
        <v>13872.07</v>
      </c>
      <c r="K225" s="4">
        <f t="shared" si="18"/>
        <v>1</v>
      </c>
      <c r="L225" t="str">
        <f t="shared" si="14"/>
        <v>May</v>
      </c>
      <c r="M225">
        <f t="shared" si="16"/>
        <v>2022</v>
      </c>
      <c r="N225">
        <f t="shared" si="17"/>
        <v>72</v>
      </c>
    </row>
    <row r="226" spans="1:14" x14ac:dyDescent="0.3">
      <c r="A226" t="s">
        <v>515</v>
      </c>
      <c r="B226" t="s">
        <v>516</v>
      </c>
      <c r="C226" s="1">
        <v>41307</v>
      </c>
      <c r="D226" t="s">
        <v>15</v>
      </c>
      <c r="E226" t="s">
        <v>2141</v>
      </c>
      <c r="F226" t="s">
        <v>84</v>
      </c>
      <c r="G226" t="s">
        <v>281</v>
      </c>
      <c r="H226" s="1">
        <v>44864</v>
      </c>
      <c r="I226" s="1">
        <v>44887</v>
      </c>
      <c r="J226" s="3">
        <v>13686.26</v>
      </c>
      <c r="K226" s="4">
        <f t="shared" si="18"/>
        <v>23</v>
      </c>
      <c r="L226" t="str">
        <f t="shared" si="14"/>
        <v>Oct</v>
      </c>
      <c r="M226">
        <f t="shared" si="16"/>
        <v>2022</v>
      </c>
      <c r="N226">
        <f t="shared" si="17"/>
        <v>9</v>
      </c>
    </row>
    <row r="227" spans="1:14" x14ac:dyDescent="0.3">
      <c r="A227" t="s">
        <v>517</v>
      </c>
      <c r="B227" t="s">
        <v>518</v>
      </c>
      <c r="C227" s="1">
        <v>44408</v>
      </c>
      <c r="D227" t="s">
        <v>15</v>
      </c>
      <c r="E227" t="s">
        <v>2141</v>
      </c>
      <c r="F227" t="s">
        <v>286</v>
      </c>
      <c r="G227" t="s">
        <v>299</v>
      </c>
      <c r="H227" s="1">
        <v>45392</v>
      </c>
      <c r="I227" s="1">
        <v>45393</v>
      </c>
      <c r="J227" s="3">
        <v>13666.77</v>
      </c>
      <c r="K227" s="4">
        <f t="shared" si="18"/>
        <v>1</v>
      </c>
      <c r="L227" t="str">
        <f t="shared" si="14"/>
        <v>Apr</v>
      </c>
      <c r="M227">
        <f t="shared" si="16"/>
        <v>2024</v>
      </c>
      <c r="N227">
        <f t="shared" si="17"/>
        <v>2</v>
      </c>
    </row>
    <row r="228" spans="1:14" x14ac:dyDescent="0.3">
      <c r="A228" t="s">
        <v>519</v>
      </c>
      <c r="B228" t="s">
        <v>520</v>
      </c>
      <c r="C228" s="1">
        <v>21780</v>
      </c>
      <c r="D228" t="s">
        <v>21</v>
      </c>
      <c r="E228" t="s">
        <v>72</v>
      </c>
      <c r="F228" t="s">
        <v>84</v>
      </c>
      <c r="G228" t="s">
        <v>73</v>
      </c>
      <c r="H228" s="1">
        <v>44973</v>
      </c>
      <c r="I228" s="1">
        <v>44978</v>
      </c>
      <c r="J228" s="3">
        <v>13585.8</v>
      </c>
      <c r="K228" s="4">
        <f t="shared" si="18"/>
        <v>5</v>
      </c>
      <c r="L228" t="str">
        <f t="shared" si="14"/>
        <v>Feb</v>
      </c>
      <c r="M228">
        <f t="shared" si="16"/>
        <v>2023</v>
      </c>
      <c r="N228">
        <f t="shared" si="17"/>
        <v>63</v>
      </c>
    </row>
    <row r="229" spans="1:14" x14ac:dyDescent="0.3">
      <c r="A229" t="s">
        <v>521</v>
      </c>
      <c r="B229" t="s">
        <v>522</v>
      </c>
      <c r="C229" s="1">
        <v>38321</v>
      </c>
      <c r="D229" t="s">
        <v>15</v>
      </c>
      <c r="E229" t="s">
        <v>2143</v>
      </c>
      <c r="F229" t="s">
        <v>191</v>
      </c>
      <c r="G229" t="s">
        <v>380</v>
      </c>
      <c r="H229" s="1">
        <v>45123</v>
      </c>
      <c r="I229" s="1">
        <v>45142</v>
      </c>
      <c r="J229" s="3">
        <v>13532.38</v>
      </c>
      <c r="K229" s="4">
        <f t="shared" si="18"/>
        <v>19</v>
      </c>
      <c r="L229" t="str">
        <f t="shared" si="14"/>
        <v>Jul</v>
      </c>
      <c r="M229">
        <f t="shared" si="16"/>
        <v>2023</v>
      </c>
      <c r="N229">
        <f t="shared" si="17"/>
        <v>18</v>
      </c>
    </row>
    <row r="230" spans="1:14" x14ac:dyDescent="0.3">
      <c r="A230" t="s">
        <v>523</v>
      </c>
      <c r="B230" t="s">
        <v>524</v>
      </c>
      <c r="C230" s="1">
        <v>33854</v>
      </c>
      <c r="D230" t="s">
        <v>15</v>
      </c>
      <c r="E230" t="s">
        <v>2146</v>
      </c>
      <c r="F230" t="s">
        <v>191</v>
      </c>
      <c r="G230" t="s">
        <v>274</v>
      </c>
      <c r="H230" s="1">
        <v>45015</v>
      </c>
      <c r="I230" s="1">
        <v>45026</v>
      </c>
      <c r="J230" s="3">
        <v>13530.47</v>
      </c>
      <c r="K230" s="4">
        <f t="shared" si="18"/>
        <v>11</v>
      </c>
      <c r="L230" t="str">
        <f t="shared" si="14"/>
        <v>Mar</v>
      </c>
      <c r="M230">
        <f t="shared" si="16"/>
        <v>2023</v>
      </c>
      <c r="N230">
        <f t="shared" si="17"/>
        <v>30</v>
      </c>
    </row>
    <row r="231" spans="1:14" x14ac:dyDescent="0.3">
      <c r="A231" s="2" t="s">
        <v>525</v>
      </c>
      <c r="B231" t="s">
        <v>526</v>
      </c>
      <c r="C231" s="1">
        <v>10789</v>
      </c>
      <c r="D231" t="s">
        <v>15</v>
      </c>
      <c r="E231" t="s">
        <v>2141</v>
      </c>
      <c r="F231" t="s">
        <v>84</v>
      </c>
      <c r="G231" t="s">
        <v>299</v>
      </c>
      <c r="H231" s="1">
        <v>45162</v>
      </c>
      <c r="I231" s="1">
        <v>45187</v>
      </c>
      <c r="J231" s="3">
        <v>13513.47</v>
      </c>
      <c r="K231" s="4">
        <f t="shared" si="18"/>
        <v>25</v>
      </c>
      <c r="L231" t="str">
        <f t="shared" si="14"/>
        <v>Aug</v>
      </c>
      <c r="M231">
        <f t="shared" si="16"/>
        <v>2023</v>
      </c>
      <c r="N231">
        <f t="shared" si="17"/>
        <v>94</v>
      </c>
    </row>
    <row r="232" spans="1:14" x14ac:dyDescent="0.3">
      <c r="A232" t="s">
        <v>527</v>
      </c>
      <c r="B232" t="s">
        <v>528</v>
      </c>
      <c r="C232" s="1">
        <v>19226</v>
      </c>
      <c r="D232" t="s">
        <v>21</v>
      </c>
      <c r="E232" t="s">
        <v>481</v>
      </c>
      <c r="F232" t="s">
        <v>84</v>
      </c>
      <c r="G232" t="s">
        <v>495</v>
      </c>
      <c r="H232" s="1">
        <v>44674</v>
      </c>
      <c r="I232" s="1">
        <v>44692</v>
      </c>
      <c r="J232" s="3">
        <v>13451.1</v>
      </c>
      <c r="K232" s="4">
        <f t="shared" si="18"/>
        <v>18</v>
      </c>
      <c r="L232" t="str">
        <f t="shared" si="14"/>
        <v>Apr</v>
      </c>
      <c r="M232">
        <f t="shared" si="16"/>
        <v>2022</v>
      </c>
      <c r="N232">
        <f t="shared" si="17"/>
        <v>69</v>
      </c>
    </row>
    <row r="233" spans="1:14" x14ac:dyDescent="0.3">
      <c r="A233" t="s">
        <v>529</v>
      </c>
      <c r="B233" t="s">
        <v>530</v>
      </c>
      <c r="C233" s="1">
        <v>15305</v>
      </c>
      <c r="D233" t="s">
        <v>21</v>
      </c>
      <c r="E233" t="s">
        <v>2145</v>
      </c>
      <c r="F233" t="s">
        <v>84</v>
      </c>
      <c r="G233" t="s">
        <v>69</v>
      </c>
      <c r="H233" s="1">
        <v>45255</v>
      </c>
      <c r="I233" s="1">
        <v>45264</v>
      </c>
      <c r="J233" s="3">
        <v>13428.39</v>
      </c>
      <c r="K233" s="4">
        <f t="shared" si="18"/>
        <v>9</v>
      </c>
      <c r="L233" t="str">
        <f t="shared" si="14"/>
        <v>Nov</v>
      </c>
      <c r="M233">
        <f t="shared" si="16"/>
        <v>2023</v>
      </c>
      <c r="N233">
        <f t="shared" si="17"/>
        <v>82</v>
      </c>
    </row>
    <row r="234" spans="1:14" x14ac:dyDescent="0.3">
      <c r="A234" t="s">
        <v>531</v>
      </c>
      <c r="B234" t="s">
        <v>532</v>
      </c>
      <c r="C234" s="1">
        <v>11483</v>
      </c>
      <c r="D234" t="s">
        <v>15</v>
      </c>
      <c r="E234" t="s">
        <v>2141</v>
      </c>
      <c r="F234" t="s">
        <v>286</v>
      </c>
      <c r="G234" t="s">
        <v>281</v>
      </c>
      <c r="H234" s="1">
        <v>45418</v>
      </c>
      <c r="I234" s="1">
        <v>45431</v>
      </c>
      <c r="J234" s="3">
        <v>13399.84</v>
      </c>
      <c r="K234" s="4">
        <f t="shared" si="18"/>
        <v>13</v>
      </c>
      <c r="L234" t="str">
        <f t="shared" si="14"/>
        <v>May</v>
      </c>
      <c r="M234">
        <f t="shared" si="16"/>
        <v>2024</v>
      </c>
      <c r="N234">
        <f t="shared" si="17"/>
        <v>92</v>
      </c>
    </row>
    <row r="235" spans="1:14" x14ac:dyDescent="0.3">
      <c r="A235" t="s">
        <v>533</v>
      </c>
      <c r="B235" t="s">
        <v>534</v>
      </c>
      <c r="C235" s="1">
        <v>27893</v>
      </c>
      <c r="D235" t="s">
        <v>15</v>
      </c>
      <c r="E235" t="s">
        <v>2141</v>
      </c>
      <c r="F235" t="s">
        <v>286</v>
      </c>
      <c r="G235" t="s">
        <v>299</v>
      </c>
      <c r="H235" s="1">
        <v>45484</v>
      </c>
      <c r="I235" s="1">
        <v>45487</v>
      </c>
      <c r="J235" s="3">
        <v>13202.03</v>
      </c>
      <c r="K235" s="4">
        <f t="shared" si="18"/>
        <v>3</v>
      </c>
      <c r="L235" t="str">
        <f t="shared" si="14"/>
        <v>Jul</v>
      </c>
      <c r="M235">
        <f t="shared" si="16"/>
        <v>2024</v>
      </c>
      <c r="N235">
        <f t="shared" si="17"/>
        <v>48</v>
      </c>
    </row>
    <row r="236" spans="1:14" x14ac:dyDescent="0.3">
      <c r="A236" t="s">
        <v>535</v>
      </c>
      <c r="B236" t="s">
        <v>536</v>
      </c>
      <c r="C236" s="1">
        <v>11747</v>
      </c>
      <c r="D236" t="s">
        <v>15</v>
      </c>
      <c r="E236" t="s">
        <v>2141</v>
      </c>
      <c r="F236" t="s">
        <v>286</v>
      </c>
      <c r="G236" t="s">
        <v>357</v>
      </c>
      <c r="H236" s="1">
        <v>44742</v>
      </c>
      <c r="I236" s="1">
        <v>44745</v>
      </c>
      <c r="J236" s="3">
        <v>13094.09</v>
      </c>
      <c r="K236" s="4">
        <f t="shared" si="18"/>
        <v>3</v>
      </c>
      <c r="L236" t="str">
        <f t="shared" si="14"/>
        <v>Jun</v>
      </c>
      <c r="M236">
        <f t="shared" si="16"/>
        <v>2022</v>
      </c>
      <c r="N236">
        <f t="shared" si="17"/>
        <v>90</v>
      </c>
    </row>
    <row r="237" spans="1:14" x14ac:dyDescent="0.3">
      <c r="A237" t="s">
        <v>537</v>
      </c>
      <c r="B237" t="s">
        <v>538</v>
      </c>
      <c r="C237" s="1">
        <v>17354</v>
      </c>
      <c r="D237" t="s">
        <v>15</v>
      </c>
      <c r="E237" t="s">
        <v>2142</v>
      </c>
      <c r="F237" t="s">
        <v>84</v>
      </c>
      <c r="G237" t="s">
        <v>305</v>
      </c>
      <c r="H237" s="1">
        <v>44640</v>
      </c>
      <c r="I237" s="1">
        <v>44666</v>
      </c>
      <c r="J237" s="3">
        <v>13046.02</v>
      </c>
      <c r="K237" s="4">
        <f t="shared" si="18"/>
        <v>26</v>
      </c>
      <c r="L237" t="str">
        <f t="shared" si="14"/>
        <v>Mar</v>
      </c>
      <c r="M237">
        <f t="shared" si="16"/>
        <v>2022</v>
      </c>
      <c r="N237">
        <f t="shared" si="17"/>
        <v>74</v>
      </c>
    </row>
    <row r="238" spans="1:14" x14ac:dyDescent="0.3">
      <c r="A238" t="s">
        <v>539</v>
      </c>
      <c r="B238" t="s">
        <v>540</v>
      </c>
      <c r="C238" s="1">
        <v>23249</v>
      </c>
      <c r="D238" t="s">
        <v>15</v>
      </c>
      <c r="E238" t="s">
        <v>2143</v>
      </c>
      <c r="F238" t="s">
        <v>84</v>
      </c>
      <c r="G238" t="s">
        <v>476</v>
      </c>
      <c r="H238" s="1">
        <v>45279</v>
      </c>
      <c r="I238" s="1">
        <v>45296</v>
      </c>
      <c r="J238" s="3">
        <v>12911.13</v>
      </c>
      <c r="K238" s="4">
        <f t="shared" si="18"/>
        <v>17</v>
      </c>
      <c r="L238" t="str">
        <f t="shared" si="14"/>
        <v>Dec</v>
      </c>
      <c r="M238">
        <f t="shared" si="16"/>
        <v>2023</v>
      </c>
      <c r="N238">
        <f t="shared" si="17"/>
        <v>60</v>
      </c>
    </row>
    <row r="239" spans="1:14" x14ac:dyDescent="0.3">
      <c r="A239" t="s">
        <v>541</v>
      </c>
      <c r="B239" t="s">
        <v>542</v>
      </c>
      <c r="C239" s="1">
        <v>34117</v>
      </c>
      <c r="D239" t="s">
        <v>15</v>
      </c>
      <c r="E239" t="s">
        <v>2146</v>
      </c>
      <c r="F239" t="s">
        <v>84</v>
      </c>
      <c r="G239" t="s">
        <v>308</v>
      </c>
      <c r="H239" s="1">
        <v>44822</v>
      </c>
      <c r="I239" s="1">
        <v>44830</v>
      </c>
      <c r="J239" s="3">
        <v>12882.22</v>
      </c>
      <c r="K239" s="4">
        <f t="shared" si="18"/>
        <v>8</v>
      </c>
      <c r="L239" t="str">
        <f t="shared" si="14"/>
        <v>Sep</v>
      </c>
      <c r="M239">
        <f t="shared" si="16"/>
        <v>2022</v>
      </c>
      <c r="N239">
        <f t="shared" si="17"/>
        <v>29</v>
      </c>
    </row>
    <row r="240" spans="1:14" x14ac:dyDescent="0.3">
      <c r="A240" t="s">
        <v>543</v>
      </c>
      <c r="B240" t="s">
        <v>544</v>
      </c>
      <c r="C240" s="1">
        <v>41710</v>
      </c>
      <c r="D240" t="s">
        <v>21</v>
      </c>
      <c r="E240" t="s">
        <v>2143</v>
      </c>
      <c r="F240" t="s">
        <v>84</v>
      </c>
      <c r="G240" t="s">
        <v>324</v>
      </c>
      <c r="H240" s="1">
        <v>44691</v>
      </c>
      <c r="I240" s="1">
        <v>44710</v>
      </c>
      <c r="J240" s="3">
        <v>12837.81</v>
      </c>
      <c r="K240" s="4">
        <f t="shared" si="18"/>
        <v>19</v>
      </c>
      <c r="L240" t="str">
        <f t="shared" si="14"/>
        <v>May</v>
      </c>
      <c r="M240">
        <f t="shared" si="16"/>
        <v>2022</v>
      </c>
      <c r="N240">
        <f t="shared" si="17"/>
        <v>8</v>
      </c>
    </row>
    <row r="241" spans="1:14" x14ac:dyDescent="0.3">
      <c r="A241" s="2" t="s">
        <v>545</v>
      </c>
      <c r="B241" t="s">
        <v>546</v>
      </c>
      <c r="C241" s="1">
        <v>26728</v>
      </c>
      <c r="D241" t="s">
        <v>15</v>
      </c>
      <c r="E241" t="s">
        <v>2145</v>
      </c>
      <c r="F241" t="s">
        <v>68</v>
      </c>
      <c r="G241" t="s">
        <v>110</v>
      </c>
      <c r="H241" s="1">
        <v>45101</v>
      </c>
      <c r="I241" s="1">
        <v>45123</v>
      </c>
      <c r="J241" s="3">
        <v>12773.31</v>
      </c>
      <c r="K241" s="4">
        <f t="shared" si="18"/>
        <v>22</v>
      </c>
      <c r="L241" t="str">
        <f t="shared" si="14"/>
        <v>Jun</v>
      </c>
      <c r="M241">
        <f t="shared" si="16"/>
        <v>2023</v>
      </c>
      <c r="N241">
        <f t="shared" si="17"/>
        <v>50</v>
      </c>
    </row>
    <row r="242" spans="1:14" x14ac:dyDescent="0.3">
      <c r="A242" t="s">
        <v>547</v>
      </c>
      <c r="B242" t="s">
        <v>548</v>
      </c>
      <c r="C242" s="1">
        <v>13469</v>
      </c>
      <c r="D242" t="s">
        <v>21</v>
      </c>
      <c r="E242" t="s">
        <v>2142</v>
      </c>
      <c r="F242" t="s">
        <v>84</v>
      </c>
      <c r="G242" t="s">
        <v>302</v>
      </c>
      <c r="H242" s="1">
        <v>44463</v>
      </c>
      <c r="I242" s="1">
        <v>44477</v>
      </c>
      <c r="J242" s="3">
        <v>12696.72</v>
      </c>
      <c r="K242" s="4">
        <f t="shared" si="18"/>
        <v>14</v>
      </c>
      <c r="L242" t="str">
        <f t="shared" ref="L242:L304" si="19">TEXT(H242,"mmm")</f>
        <v>Sep</v>
      </c>
      <c r="M242">
        <f t="shared" si="16"/>
        <v>2021</v>
      </c>
      <c r="N242">
        <f t="shared" si="17"/>
        <v>84</v>
      </c>
    </row>
    <row r="243" spans="1:14" x14ac:dyDescent="0.3">
      <c r="A243" t="s">
        <v>549</v>
      </c>
      <c r="B243" t="s">
        <v>550</v>
      </c>
      <c r="C243" s="1">
        <v>26007</v>
      </c>
      <c r="D243" t="s">
        <v>15</v>
      </c>
      <c r="E243" t="s">
        <v>481</v>
      </c>
      <c r="F243" t="s">
        <v>84</v>
      </c>
      <c r="G243" t="s">
        <v>506</v>
      </c>
      <c r="H243" s="1">
        <v>45299</v>
      </c>
      <c r="I243" s="1">
        <v>45305</v>
      </c>
      <c r="J243" s="3">
        <v>12693.82</v>
      </c>
      <c r="K243" s="4">
        <f t="shared" si="18"/>
        <v>6</v>
      </c>
      <c r="L243" t="str">
        <f t="shared" si="19"/>
        <v>Jan</v>
      </c>
      <c r="M243">
        <f t="shared" si="16"/>
        <v>2024</v>
      </c>
      <c r="N243">
        <f t="shared" si="17"/>
        <v>52</v>
      </c>
    </row>
    <row r="244" spans="1:14" x14ac:dyDescent="0.3">
      <c r="A244" t="s">
        <v>551</v>
      </c>
      <c r="B244" t="s">
        <v>552</v>
      </c>
      <c r="C244" s="1">
        <v>14954</v>
      </c>
      <c r="D244" t="s">
        <v>21</v>
      </c>
      <c r="E244" t="s">
        <v>2141</v>
      </c>
      <c r="F244" t="s">
        <v>84</v>
      </c>
      <c r="G244" t="s">
        <v>281</v>
      </c>
      <c r="H244" s="1">
        <v>45371</v>
      </c>
      <c r="I244" s="1">
        <v>45396</v>
      </c>
      <c r="J244" s="3">
        <v>12684.61</v>
      </c>
      <c r="K244" s="4">
        <f t="shared" si="18"/>
        <v>25</v>
      </c>
      <c r="L244" t="str">
        <f t="shared" si="19"/>
        <v>Mar</v>
      </c>
      <c r="M244">
        <f t="shared" si="16"/>
        <v>2024</v>
      </c>
      <c r="N244">
        <f t="shared" si="17"/>
        <v>83</v>
      </c>
    </row>
    <row r="245" spans="1:14" x14ac:dyDescent="0.3">
      <c r="A245" t="s">
        <v>553</v>
      </c>
      <c r="B245" t="s">
        <v>554</v>
      </c>
      <c r="C245" s="1">
        <v>31134</v>
      </c>
      <c r="D245" t="s">
        <v>15</v>
      </c>
      <c r="E245" t="s">
        <v>294</v>
      </c>
      <c r="F245" t="s">
        <v>95</v>
      </c>
      <c r="G245" t="s">
        <v>311</v>
      </c>
      <c r="H245" s="1">
        <v>45276</v>
      </c>
      <c r="I245" s="1">
        <v>45286</v>
      </c>
      <c r="J245" s="3">
        <v>12661.69</v>
      </c>
      <c r="K245" s="4">
        <f t="shared" si="18"/>
        <v>10</v>
      </c>
      <c r="L245" t="str">
        <f t="shared" si="19"/>
        <v>Dec</v>
      </c>
      <c r="M245">
        <f t="shared" si="16"/>
        <v>2023</v>
      </c>
      <c r="N245">
        <f t="shared" si="17"/>
        <v>38</v>
      </c>
    </row>
    <row r="246" spans="1:14" x14ac:dyDescent="0.3">
      <c r="A246" t="s">
        <v>555</v>
      </c>
      <c r="B246" t="s">
        <v>556</v>
      </c>
      <c r="C246" s="1">
        <v>26854</v>
      </c>
      <c r="D246" t="s">
        <v>15</v>
      </c>
      <c r="E246" t="s">
        <v>2146</v>
      </c>
      <c r="F246" t="s">
        <v>84</v>
      </c>
      <c r="G246" t="s">
        <v>427</v>
      </c>
      <c r="H246" s="1">
        <v>45262</v>
      </c>
      <c r="I246" s="1">
        <v>45274</v>
      </c>
      <c r="J246" s="3">
        <v>12651.69</v>
      </c>
      <c r="K246" s="4">
        <f t="shared" si="18"/>
        <v>12</v>
      </c>
      <c r="L246" t="str">
        <f t="shared" si="19"/>
        <v>Dec</v>
      </c>
      <c r="M246">
        <f t="shared" si="16"/>
        <v>2023</v>
      </c>
      <c r="N246">
        <f t="shared" si="17"/>
        <v>50</v>
      </c>
    </row>
    <row r="247" spans="1:14" x14ac:dyDescent="0.3">
      <c r="A247" t="s">
        <v>557</v>
      </c>
      <c r="B247" t="s">
        <v>558</v>
      </c>
      <c r="C247" s="1">
        <v>39746</v>
      </c>
      <c r="D247" t="s">
        <v>21</v>
      </c>
      <c r="E247" t="s">
        <v>2143</v>
      </c>
      <c r="F247" t="s">
        <v>84</v>
      </c>
      <c r="G247" t="s">
        <v>324</v>
      </c>
      <c r="H247" s="1">
        <v>44558</v>
      </c>
      <c r="I247" s="1">
        <v>44565</v>
      </c>
      <c r="J247" s="3">
        <v>12614.47</v>
      </c>
      <c r="K247" s="4">
        <f t="shared" si="18"/>
        <v>7</v>
      </c>
      <c r="L247" t="str">
        <f t="shared" si="19"/>
        <v>Dec</v>
      </c>
      <c r="M247">
        <f t="shared" si="16"/>
        <v>2021</v>
      </c>
      <c r="N247">
        <f t="shared" si="17"/>
        <v>13</v>
      </c>
    </row>
    <row r="248" spans="1:14" x14ac:dyDescent="0.3">
      <c r="A248" t="s">
        <v>559</v>
      </c>
      <c r="B248" t="s">
        <v>560</v>
      </c>
      <c r="C248" s="1">
        <v>41722</v>
      </c>
      <c r="D248" t="s">
        <v>15</v>
      </c>
      <c r="E248" t="s">
        <v>2143</v>
      </c>
      <c r="F248" t="s">
        <v>191</v>
      </c>
      <c r="G248" t="s">
        <v>324</v>
      </c>
      <c r="H248" s="1">
        <v>45237</v>
      </c>
      <c r="I248" s="1">
        <v>45251</v>
      </c>
      <c r="J248" s="3">
        <v>12563.63</v>
      </c>
      <c r="K248" s="4">
        <f t="shared" si="18"/>
        <v>14</v>
      </c>
      <c r="L248" t="str">
        <f t="shared" si="19"/>
        <v>Nov</v>
      </c>
      <c r="M248">
        <f t="shared" si="16"/>
        <v>2023</v>
      </c>
      <c r="N248">
        <f t="shared" si="17"/>
        <v>9</v>
      </c>
    </row>
    <row r="249" spans="1:14" x14ac:dyDescent="0.3">
      <c r="A249" t="s">
        <v>561</v>
      </c>
      <c r="B249" t="s">
        <v>562</v>
      </c>
      <c r="C249" s="1">
        <v>35700</v>
      </c>
      <c r="D249" t="s">
        <v>21</v>
      </c>
      <c r="E249" t="s">
        <v>2146</v>
      </c>
      <c r="F249" t="s">
        <v>191</v>
      </c>
      <c r="G249" t="s">
        <v>274</v>
      </c>
      <c r="H249" s="1">
        <v>45285</v>
      </c>
      <c r="I249" s="1">
        <v>45286</v>
      </c>
      <c r="J249" s="3">
        <v>12544.43</v>
      </c>
      <c r="K249" s="4">
        <f t="shared" si="18"/>
        <v>1</v>
      </c>
      <c r="L249" t="str">
        <f t="shared" si="19"/>
        <v>Dec</v>
      </c>
      <c r="M249">
        <f t="shared" si="16"/>
        <v>2023</v>
      </c>
      <c r="N249">
        <f t="shared" si="17"/>
        <v>26</v>
      </c>
    </row>
    <row r="250" spans="1:14" x14ac:dyDescent="0.3">
      <c r="A250" t="s">
        <v>563</v>
      </c>
      <c r="B250" t="s">
        <v>564</v>
      </c>
      <c r="C250" s="1">
        <v>31165</v>
      </c>
      <c r="D250" t="s">
        <v>21</v>
      </c>
      <c r="E250" t="s">
        <v>2142</v>
      </c>
      <c r="F250" t="s">
        <v>84</v>
      </c>
      <c r="G250" t="s">
        <v>302</v>
      </c>
      <c r="H250" s="1">
        <v>44888</v>
      </c>
      <c r="I250" s="1">
        <v>44917</v>
      </c>
      <c r="J250" s="3">
        <v>12533.44</v>
      </c>
      <c r="K250" s="4">
        <f t="shared" si="18"/>
        <v>29</v>
      </c>
      <c r="L250" t="str">
        <f t="shared" si="19"/>
        <v>Nov</v>
      </c>
      <c r="M250">
        <f t="shared" si="16"/>
        <v>2022</v>
      </c>
      <c r="N250">
        <f t="shared" si="17"/>
        <v>37</v>
      </c>
    </row>
    <row r="251" spans="1:14" x14ac:dyDescent="0.3">
      <c r="A251" t="s">
        <v>565</v>
      </c>
      <c r="B251" t="s">
        <v>566</v>
      </c>
      <c r="C251" s="1">
        <v>14598</v>
      </c>
      <c r="D251" t="s">
        <v>15</v>
      </c>
      <c r="E251" t="s">
        <v>294</v>
      </c>
      <c r="F251" t="s">
        <v>95</v>
      </c>
      <c r="G251" t="s">
        <v>296</v>
      </c>
      <c r="H251" s="1">
        <v>45019</v>
      </c>
      <c r="I251" s="1">
        <v>45045</v>
      </c>
      <c r="J251" s="3">
        <v>12527.18</v>
      </c>
      <c r="K251" s="4">
        <f t="shared" si="18"/>
        <v>26</v>
      </c>
      <c r="L251" t="str">
        <f t="shared" si="19"/>
        <v>Apr</v>
      </c>
      <c r="M251">
        <f t="shared" si="16"/>
        <v>2023</v>
      </c>
      <c r="N251">
        <f t="shared" si="17"/>
        <v>83</v>
      </c>
    </row>
    <row r="252" spans="1:14" x14ac:dyDescent="0.3">
      <c r="A252" t="s">
        <v>567</v>
      </c>
      <c r="B252" t="s">
        <v>568</v>
      </c>
      <c r="C252" s="1">
        <v>25543</v>
      </c>
      <c r="D252" t="s">
        <v>15</v>
      </c>
      <c r="E252" t="s">
        <v>2145</v>
      </c>
      <c r="F252" t="s">
        <v>68</v>
      </c>
      <c r="G252" t="s">
        <v>85</v>
      </c>
      <c r="H252" s="1">
        <v>44618</v>
      </c>
      <c r="I252" s="1">
        <v>44634</v>
      </c>
      <c r="J252" s="3">
        <v>12500.36</v>
      </c>
      <c r="K252" s="4">
        <f t="shared" si="18"/>
        <v>16</v>
      </c>
      <c r="L252" t="str">
        <f t="shared" si="19"/>
        <v>Feb</v>
      </c>
      <c r="M252">
        <f t="shared" si="16"/>
        <v>2022</v>
      </c>
      <c r="N252">
        <f t="shared" si="17"/>
        <v>52</v>
      </c>
    </row>
    <row r="253" spans="1:14" x14ac:dyDescent="0.3">
      <c r="A253" t="s">
        <v>569</v>
      </c>
      <c r="B253" t="s">
        <v>570</v>
      </c>
      <c r="C253" s="1">
        <v>20772</v>
      </c>
      <c r="D253" t="s">
        <v>15</v>
      </c>
      <c r="E253" t="s">
        <v>2146</v>
      </c>
      <c r="F253" t="s">
        <v>191</v>
      </c>
      <c r="G253" t="s">
        <v>427</v>
      </c>
      <c r="H253" s="1">
        <v>44653</v>
      </c>
      <c r="I253" s="1">
        <v>44682</v>
      </c>
      <c r="J253" s="3">
        <v>12446.39</v>
      </c>
      <c r="K253" s="4">
        <f t="shared" si="18"/>
        <v>29</v>
      </c>
      <c r="L253" t="str">
        <f t="shared" si="19"/>
        <v>Apr</v>
      </c>
      <c r="M253">
        <f t="shared" si="16"/>
        <v>2022</v>
      </c>
      <c r="N253">
        <f t="shared" si="17"/>
        <v>65</v>
      </c>
    </row>
    <row r="254" spans="1:14" x14ac:dyDescent="0.3">
      <c r="A254" t="s">
        <v>571</v>
      </c>
      <c r="B254" t="s">
        <v>572</v>
      </c>
      <c r="C254" s="1">
        <v>22566</v>
      </c>
      <c r="D254" t="s">
        <v>21</v>
      </c>
      <c r="E254" t="s">
        <v>294</v>
      </c>
      <c r="F254" t="s">
        <v>295</v>
      </c>
      <c r="G254" t="s">
        <v>296</v>
      </c>
      <c r="H254" s="1">
        <v>45166</v>
      </c>
      <c r="I254" s="1">
        <v>45182</v>
      </c>
      <c r="J254" s="3">
        <v>12426.2</v>
      </c>
      <c r="K254" s="4">
        <f t="shared" si="18"/>
        <v>16</v>
      </c>
      <c r="L254" t="str">
        <f t="shared" si="19"/>
        <v>Aug</v>
      </c>
      <c r="M254">
        <f t="shared" si="16"/>
        <v>2023</v>
      </c>
      <c r="N254">
        <f t="shared" si="17"/>
        <v>61</v>
      </c>
    </row>
    <row r="255" spans="1:14" x14ac:dyDescent="0.3">
      <c r="A255" t="s">
        <v>573</v>
      </c>
      <c r="B255" t="s">
        <v>574</v>
      </c>
      <c r="C255" s="1">
        <v>30108</v>
      </c>
      <c r="D255" t="s">
        <v>15</v>
      </c>
      <c r="E255" t="s">
        <v>2146</v>
      </c>
      <c r="F255" t="s">
        <v>84</v>
      </c>
      <c r="G255" t="s">
        <v>274</v>
      </c>
      <c r="H255" s="1">
        <v>45020</v>
      </c>
      <c r="I255" s="1">
        <v>45032</v>
      </c>
      <c r="J255" s="3">
        <v>12411.99</v>
      </c>
      <c r="K255" s="4">
        <f t="shared" si="18"/>
        <v>12</v>
      </c>
      <c r="L255" t="str">
        <f t="shared" si="19"/>
        <v>Apr</v>
      </c>
      <c r="M255">
        <f t="shared" ref="M255:M317" si="20">YEAR(H255)</f>
        <v>2023</v>
      </c>
      <c r="N255">
        <f t="shared" ref="N255:N317" si="21">DATEDIF(C255, H255, "Y")</f>
        <v>40</v>
      </c>
    </row>
    <row r="256" spans="1:14" x14ac:dyDescent="0.3">
      <c r="A256" t="s">
        <v>575</v>
      </c>
      <c r="B256" t="s">
        <v>576</v>
      </c>
      <c r="C256" s="1">
        <v>16783</v>
      </c>
      <c r="D256" t="s">
        <v>15</v>
      </c>
      <c r="E256" t="s">
        <v>190</v>
      </c>
      <c r="F256" t="s">
        <v>191</v>
      </c>
      <c r="G256" t="s">
        <v>192</v>
      </c>
      <c r="H256" s="1">
        <v>45399</v>
      </c>
      <c r="I256" s="1">
        <v>45410</v>
      </c>
      <c r="J256" s="3">
        <v>12321.99</v>
      </c>
      <c r="K256" s="4">
        <f t="shared" si="18"/>
        <v>11</v>
      </c>
      <c r="L256" t="str">
        <f t="shared" si="19"/>
        <v>Apr</v>
      </c>
      <c r="M256">
        <f t="shared" si="20"/>
        <v>2024</v>
      </c>
      <c r="N256">
        <f t="shared" si="21"/>
        <v>78</v>
      </c>
    </row>
    <row r="257" spans="1:14" x14ac:dyDescent="0.3">
      <c r="A257" t="s">
        <v>577</v>
      </c>
      <c r="B257" t="s">
        <v>578</v>
      </c>
      <c r="C257" s="1">
        <v>31433</v>
      </c>
      <c r="D257" t="s">
        <v>15</v>
      </c>
      <c r="E257" t="s">
        <v>2141</v>
      </c>
      <c r="F257" t="s">
        <v>286</v>
      </c>
      <c r="G257" t="s">
        <v>357</v>
      </c>
      <c r="H257" s="1">
        <v>44657</v>
      </c>
      <c r="I257" s="1">
        <v>44683</v>
      </c>
      <c r="J257" s="3">
        <v>12186.67</v>
      </c>
      <c r="K257" s="4">
        <f t="shared" si="18"/>
        <v>26</v>
      </c>
      <c r="L257" t="str">
        <f t="shared" si="19"/>
        <v>Apr</v>
      </c>
      <c r="M257">
        <f t="shared" si="20"/>
        <v>2022</v>
      </c>
      <c r="N257">
        <f t="shared" si="21"/>
        <v>36</v>
      </c>
    </row>
    <row r="258" spans="1:14" x14ac:dyDescent="0.3">
      <c r="A258" t="s">
        <v>579</v>
      </c>
      <c r="B258" t="s">
        <v>580</v>
      </c>
      <c r="C258" s="1">
        <v>35439</v>
      </c>
      <c r="D258" t="s">
        <v>21</v>
      </c>
      <c r="E258" t="s">
        <v>2145</v>
      </c>
      <c r="F258" t="s">
        <v>84</v>
      </c>
      <c r="G258" t="s">
        <v>69</v>
      </c>
      <c r="H258" s="1">
        <v>44853</v>
      </c>
      <c r="I258" s="1">
        <v>44876</v>
      </c>
      <c r="J258" s="3">
        <v>12132.16</v>
      </c>
      <c r="K258" s="4">
        <f t="shared" ref="K258:K284" si="22" xml:space="preserve"> I258-H258</f>
        <v>23</v>
      </c>
      <c r="L258" t="str">
        <f t="shared" si="19"/>
        <v>Oct</v>
      </c>
      <c r="M258">
        <f t="shared" si="20"/>
        <v>2022</v>
      </c>
      <c r="N258">
        <f t="shared" si="21"/>
        <v>25</v>
      </c>
    </row>
    <row r="259" spans="1:14" x14ac:dyDescent="0.3">
      <c r="A259" t="s">
        <v>581</v>
      </c>
      <c r="B259" t="s">
        <v>582</v>
      </c>
      <c r="C259" s="1">
        <v>22906</v>
      </c>
      <c r="D259" t="s">
        <v>15</v>
      </c>
      <c r="E259" t="s">
        <v>2142</v>
      </c>
      <c r="F259" t="s">
        <v>84</v>
      </c>
      <c r="G259" t="s">
        <v>305</v>
      </c>
      <c r="H259" s="1">
        <v>45161</v>
      </c>
      <c r="I259" s="1">
        <v>45191</v>
      </c>
      <c r="J259" s="3">
        <v>11959.93</v>
      </c>
      <c r="K259" s="4">
        <f t="shared" si="22"/>
        <v>30</v>
      </c>
      <c r="L259" t="str">
        <f t="shared" si="19"/>
        <v>Aug</v>
      </c>
      <c r="M259">
        <f t="shared" si="20"/>
        <v>2023</v>
      </c>
      <c r="N259">
        <f t="shared" si="21"/>
        <v>60</v>
      </c>
    </row>
    <row r="260" spans="1:14" x14ac:dyDescent="0.3">
      <c r="A260" t="s">
        <v>583</v>
      </c>
      <c r="B260" t="s">
        <v>584</v>
      </c>
      <c r="C260" s="1">
        <v>36508</v>
      </c>
      <c r="D260" t="s">
        <v>21</v>
      </c>
      <c r="E260" t="s">
        <v>2141</v>
      </c>
      <c r="F260" t="s">
        <v>286</v>
      </c>
      <c r="G260" t="s">
        <v>299</v>
      </c>
      <c r="H260" s="1">
        <v>44455</v>
      </c>
      <c r="I260" s="1">
        <v>44469</v>
      </c>
      <c r="J260" s="3">
        <v>11888.72</v>
      </c>
      <c r="K260" s="4">
        <f t="shared" si="22"/>
        <v>14</v>
      </c>
      <c r="L260" t="str">
        <f t="shared" si="19"/>
        <v>Sep</v>
      </c>
      <c r="M260">
        <f t="shared" si="20"/>
        <v>2021</v>
      </c>
      <c r="N260">
        <f t="shared" si="21"/>
        <v>21</v>
      </c>
    </row>
    <row r="261" spans="1:14" x14ac:dyDescent="0.3">
      <c r="A261" t="s">
        <v>585</v>
      </c>
      <c r="B261" t="s">
        <v>586</v>
      </c>
      <c r="C261" s="1">
        <v>45283</v>
      </c>
      <c r="D261" t="s">
        <v>21</v>
      </c>
      <c r="E261" t="s">
        <v>294</v>
      </c>
      <c r="F261" t="s">
        <v>385</v>
      </c>
      <c r="G261" t="s">
        <v>410</v>
      </c>
      <c r="H261" s="1">
        <v>45370</v>
      </c>
      <c r="I261" s="1">
        <v>45387</v>
      </c>
      <c r="J261" s="3">
        <v>11699.14</v>
      </c>
      <c r="K261" s="4">
        <f t="shared" si="22"/>
        <v>17</v>
      </c>
      <c r="L261" t="str">
        <f t="shared" si="19"/>
        <v>Mar</v>
      </c>
      <c r="M261">
        <f t="shared" si="20"/>
        <v>2024</v>
      </c>
      <c r="N261">
        <f t="shared" si="21"/>
        <v>0</v>
      </c>
    </row>
    <row r="262" spans="1:14" x14ac:dyDescent="0.3">
      <c r="A262" t="s">
        <v>587</v>
      </c>
      <c r="B262" t="s">
        <v>588</v>
      </c>
      <c r="C262" s="1">
        <v>11203</v>
      </c>
      <c r="D262" t="s">
        <v>15</v>
      </c>
      <c r="E262" t="s">
        <v>2146</v>
      </c>
      <c r="F262" t="s">
        <v>191</v>
      </c>
      <c r="G262" t="s">
        <v>427</v>
      </c>
      <c r="H262" s="1">
        <v>44715</v>
      </c>
      <c r="I262" s="1">
        <v>44728</v>
      </c>
      <c r="J262" s="3">
        <v>11665</v>
      </c>
      <c r="K262" s="4">
        <f t="shared" si="22"/>
        <v>13</v>
      </c>
      <c r="L262" t="str">
        <f t="shared" si="19"/>
        <v>Jun</v>
      </c>
      <c r="M262">
        <f t="shared" si="20"/>
        <v>2022</v>
      </c>
      <c r="N262">
        <f t="shared" si="21"/>
        <v>91</v>
      </c>
    </row>
    <row r="263" spans="1:14" x14ac:dyDescent="0.3">
      <c r="A263" t="s">
        <v>589</v>
      </c>
      <c r="B263" t="s">
        <v>590</v>
      </c>
      <c r="C263" s="1">
        <v>22799</v>
      </c>
      <c r="D263" t="s">
        <v>15</v>
      </c>
      <c r="E263" t="s">
        <v>294</v>
      </c>
      <c r="F263" t="s">
        <v>95</v>
      </c>
      <c r="G263" t="s">
        <v>311</v>
      </c>
      <c r="H263" s="1">
        <v>45215</v>
      </c>
      <c r="I263" s="1">
        <v>45231</v>
      </c>
      <c r="J263" s="3">
        <v>11629.59</v>
      </c>
      <c r="K263" s="4">
        <f t="shared" si="22"/>
        <v>16</v>
      </c>
      <c r="L263" t="str">
        <f t="shared" si="19"/>
        <v>Oct</v>
      </c>
      <c r="M263">
        <f t="shared" si="20"/>
        <v>2023</v>
      </c>
      <c r="N263">
        <f t="shared" si="21"/>
        <v>61</v>
      </c>
    </row>
    <row r="264" spans="1:14" x14ac:dyDescent="0.3">
      <c r="A264" t="s">
        <v>591</v>
      </c>
      <c r="B264" t="s">
        <v>592</v>
      </c>
      <c r="C264" s="1">
        <v>23123</v>
      </c>
      <c r="D264" t="s">
        <v>21</v>
      </c>
      <c r="E264" t="s">
        <v>2141</v>
      </c>
      <c r="F264" t="s">
        <v>84</v>
      </c>
      <c r="G264" t="s">
        <v>281</v>
      </c>
      <c r="H264" s="1">
        <v>44810</v>
      </c>
      <c r="I264" s="1">
        <v>44813</v>
      </c>
      <c r="J264" s="3">
        <v>11614.86</v>
      </c>
      <c r="K264" s="4">
        <f t="shared" si="22"/>
        <v>3</v>
      </c>
      <c r="L264" t="str">
        <f t="shared" si="19"/>
        <v>Sep</v>
      </c>
      <c r="M264">
        <f t="shared" si="20"/>
        <v>2022</v>
      </c>
      <c r="N264">
        <f t="shared" si="21"/>
        <v>59</v>
      </c>
    </row>
    <row r="265" spans="1:14" x14ac:dyDescent="0.3">
      <c r="A265" t="s">
        <v>593</v>
      </c>
      <c r="B265" t="s">
        <v>594</v>
      </c>
      <c r="C265" s="1">
        <v>20557</v>
      </c>
      <c r="D265" t="s">
        <v>15</v>
      </c>
      <c r="E265" t="s">
        <v>2146</v>
      </c>
      <c r="F265" t="s">
        <v>84</v>
      </c>
      <c r="G265" t="s">
        <v>427</v>
      </c>
      <c r="H265" s="1">
        <v>45424</v>
      </c>
      <c r="I265" s="1">
        <v>45441</v>
      </c>
      <c r="J265" s="3">
        <v>11520.63</v>
      </c>
      <c r="K265" s="4">
        <f t="shared" si="22"/>
        <v>17</v>
      </c>
      <c r="L265" t="str">
        <f t="shared" si="19"/>
        <v>May</v>
      </c>
      <c r="M265">
        <f t="shared" si="20"/>
        <v>2024</v>
      </c>
      <c r="N265">
        <f t="shared" si="21"/>
        <v>68</v>
      </c>
    </row>
    <row r="266" spans="1:14" x14ac:dyDescent="0.3">
      <c r="A266" t="s">
        <v>595</v>
      </c>
      <c r="B266" t="s">
        <v>596</v>
      </c>
      <c r="C266" s="1">
        <v>30071</v>
      </c>
      <c r="D266" t="s">
        <v>15</v>
      </c>
      <c r="E266" t="s">
        <v>190</v>
      </c>
      <c r="F266" t="s">
        <v>191</v>
      </c>
      <c r="G266" t="s">
        <v>200</v>
      </c>
      <c r="H266" s="1">
        <v>45261</v>
      </c>
      <c r="I266" s="1">
        <v>45280</v>
      </c>
      <c r="J266" s="3">
        <v>11449.51</v>
      </c>
      <c r="K266" s="4">
        <f t="shared" si="22"/>
        <v>19</v>
      </c>
      <c r="L266" t="str">
        <f t="shared" si="19"/>
        <v>Dec</v>
      </c>
      <c r="M266">
        <f t="shared" si="20"/>
        <v>2023</v>
      </c>
      <c r="N266">
        <f t="shared" si="21"/>
        <v>41</v>
      </c>
    </row>
    <row r="267" spans="1:14" x14ac:dyDescent="0.3">
      <c r="A267" t="s">
        <v>597</v>
      </c>
      <c r="B267" t="s">
        <v>598</v>
      </c>
      <c r="C267" s="1">
        <v>34473</v>
      </c>
      <c r="D267" t="s">
        <v>15</v>
      </c>
      <c r="E267" t="s">
        <v>2146</v>
      </c>
      <c r="F267" t="s">
        <v>191</v>
      </c>
      <c r="G267" t="s">
        <v>427</v>
      </c>
      <c r="H267" s="1">
        <v>45219</v>
      </c>
      <c r="I267" s="1">
        <v>45240</v>
      </c>
      <c r="J267" s="3">
        <v>11445.28</v>
      </c>
      <c r="K267" s="4">
        <f t="shared" si="22"/>
        <v>21</v>
      </c>
      <c r="L267" t="str">
        <f t="shared" si="19"/>
        <v>Oct</v>
      </c>
      <c r="M267">
        <f t="shared" si="20"/>
        <v>2023</v>
      </c>
      <c r="N267">
        <f t="shared" si="21"/>
        <v>29</v>
      </c>
    </row>
    <row r="268" spans="1:14" x14ac:dyDescent="0.3">
      <c r="A268" t="s">
        <v>599</v>
      </c>
      <c r="B268" t="s">
        <v>600</v>
      </c>
      <c r="C268" s="1">
        <v>20471</v>
      </c>
      <c r="D268" t="s">
        <v>21</v>
      </c>
      <c r="E268" t="s">
        <v>481</v>
      </c>
      <c r="F268" t="s">
        <v>84</v>
      </c>
      <c r="G268" t="s">
        <v>482</v>
      </c>
      <c r="H268" s="1">
        <v>44632</v>
      </c>
      <c r="I268" s="1">
        <v>44650</v>
      </c>
      <c r="J268" s="3">
        <v>11363.32</v>
      </c>
      <c r="K268" s="4">
        <f t="shared" si="22"/>
        <v>18</v>
      </c>
      <c r="L268" t="str">
        <f t="shared" si="19"/>
        <v>Mar</v>
      </c>
      <c r="M268">
        <f t="shared" si="20"/>
        <v>2022</v>
      </c>
      <c r="N268">
        <f t="shared" si="21"/>
        <v>66</v>
      </c>
    </row>
    <row r="269" spans="1:14" x14ac:dyDescent="0.3">
      <c r="A269" t="s">
        <v>601</v>
      </c>
      <c r="B269" t="s">
        <v>602</v>
      </c>
      <c r="C269" s="1">
        <v>12490</v>
      </c>
      <c r="D269" t="s">
        <v>15</v>
      </c>
      <c r="E269" t="s">
        <v>481</v>
      </c>
      <c r="F269" t="s">
        <v>17</v>
      </c>
      <c r="G269" t="s">
        <v>506</v>
      </c>
      <c r="H269" s="1">
        <v>44571</v>
      </c>
      <c r="I269" s="1">
        <v>44593</v>
      </c>
      <c r="J269" s="3">
        <v>11314.16</v>
      </c>
      <c r="K269" s="4">
        <f t="shared" si="22"/>
        <v>22</v>
      </c>
      <c r="L269" t="str">
        <f t="shared" si="19"/>
        <v>Jan</v>
      </c>
      <c r="M269">
        <f t="shared" si="20"/>
        <v>2022</v>
      </c>
      <c r="N269">
        <f t="shared" si="21"/>
        <v>87</v>
      </c>
    </row>
    <row r="270" spans="1:14" x14ac:dyDescent="0.3">
      <c r="A270" t="s">
        <v>603</v>
      </c>
      <c r="B270" t="s">
        <v>604</v>
      </c>
      <c r="C270" s="1">
        <v>35188</v>
      </c>
      <c r="D270" t="s">
        <v>21</v>
      </c>
      <c r="E270" t="s">
        <v>79</v>
      </c>
      <c r="F270" t="s">
        <v>95</v>
      </c>
      <c r="G270" t="s">
        <v>117</v>
      </c>
      <c r="H270" s="1">
        <v>45476</v>
      </c>
      <c r="I270" s="1">
        <v>45489</v>
      </c>
      <c r="J270" s="3">
        <v>11302.16</v>
      </c>
      <c r="K270" s="4">
        <f t="shared" si="22"/>
        <v>13</v>
      </c>
      <c r="L270" t="str">
        <f t="shared" si="19"/>
        <v>Jul</v>
      </c>
      <c r="M270">
        <f t="shared" si="20"/>
        <v>2024</v>
      </c>
      <c r="N270">
        <f t="shared" si="21"/>
        <v>28</v>
      </c>
    </row>
    <row r="271" spans="1:14" x14ac:dyDescent="0.3">
      <c r="A271" t="s">
        <v>605</v>
      </c>
      <c r="B271" t="s">
        <v>606</v>
      </c>
      <c r="C271" s="1">
        <v>13298</v>
      </c>
      <c r="D271" t="s">
        <v>15</v>
      </c>
      <c r="E271" t="s">
        <v>2146</v>
      </c>
      <c r="F271" t="s">
        <v>191</v>
      </c>
      <c r="G271" t="s">
        <v>427</v>
      </c>
      <c r="H271" s="1">
        <v>44580</v>
      </c>
      <c r="I271" s="1">
        <v>44591</v>
      </c>
      <c r="J271" s="3">
        <v>11245.09</v>
      </c>
      <c r="K271" s="4">
        <f t="shared" si="22"/>
        <v>11</v>
      </c>
      <c r="L271" t="str">
        <f t="shared" si="19"/>
        <v>Jan</v>
      </c>
      <c r="M271">
        <f t="shared" si="20"/>
        <v>2022</v>
      </c>
      <c r="N271">
        <f t="shared" si="21"/>
        <v>85</v>
      </c>
    </row>
    <row r="272" spans="1:14" x14ac:dyDescent="0.3">
      <c r="A272" t="s">
        <v>607</v>
      </c>
      <c r="B272" t="s">
        <v>608</v>
      </c>
      <c r="C272" s="1">
        <v>39592</v>
      </c>
      <c r="D272" t="s">
        <v>21</v>
      </c>
      <c r="E272" t="s">
        <v>481</v>
      </c>
      <c r="F272" t="s">
        <v>17</v>
      </c>
      <c r="G272" t="s">
        <v>482</v>
      </c>
      <c r="H272" s="1">
        <v>45062</v>
      </c>
      <c r="I272" s="1">
        <v>45087</v>
      </c>
      <c r="J272" s="3">
        <v>11226.83</v>
      </c>
      <c r="K272" s="4">
        <f t="shared" si="22"/>
        <v>25</v>
      </c>
      <c r="L272" t="str">
        <f t="shared" si="19"/>
        <v>May</v>
      </c>
      <c r="M272">
        <f t="shared" si="20"/>
        <v>2023</v>
      </c>
      <c r="N272">
        <f t="shared" si="21"/>
        <v>14</v>
      </c>
    </row>
    <row r="273" spans="1:14" x14ac:dyDescent="0.3">
      <c r="A273" t="s">
        <v>609</v>
      </c>
      <c r="B273" t="s">
        <v>610</v>
      </c>
      <c r="C273" s="1">
        <v>11786</v>
      </c>
      <c r="D273" t="s">
        <v>21</v>
      </c>
      <c r="E273" t="s">
        <v>2142</v>
      </c>
      <c r="F273" t="s">
        <v>95</v>
      </c>
      <c r="G273" t="s">
        <v>305</v>
      </c>
      <c r="H273" s="1">
        <v>44795</v>
      </c>
      <c r="I273" s="1">
        <v>44820</v>
      </c>
      <c r="J273" s="3">
        <v>11162.64</v>
      </c>
      <c r="K273" s="4">
        <f t="shared" si="22"/>
        <v>25</v>
      </c>
      <c r="L273" t="str">
        <f t="shared" si="19"/>
        <v>Aug</v>
      </c>
      <c r="M273">
        <f t="shared" si="20"/>
        <v>2022</v>
      </c>
      <c r="N273">
        <f t="shared" si="21"/>
        <v>90</v>
      </c>
    </row>
    <row r="274" spans="1:14" x14ac:dyDescent="0.3">
      <c r="A274" t="s">
        <v>611</v>
      </c>
      <c r="B274" t="s">
        <v>612</v>
      </c>
      <c r="C274" s="1">
        <v>38085</v>
      </c>
      <c r="D274" t="s">
        <v>15</v>
      </c>
      <c r="E274" t="s">
        <v>481</v>
      </c>
      <c r="F274" t="s">
        <v>84</v>
      </c>
      <c r="G274" t="s">
        <v>482</v>
      </c>
      <c r="H274" s="1">
        <v>44627</v>
      </c>
      <c r="I274" s="1">
        <v>44640</v>
      </c>
      <c r="J274" s="3">
        <v>11150.26</v>
      </c>
      <c r="K274" s="4">
        <f t="shared" si="22"/>
        <v>13</v>
      </c>
      <c r="L274" t="str">
        <f t="shared" si="19"/>
        <v>Mar</v>
      </c>
      <c r="M274">
        <f t="shared" si="20"/>
        <v>2022</v>
      </c>
      <c r="N274">
        <f t="shared" si="21"/>
        <v>17</v>
      </c>
    </row>
    <row r="275" spans="1:14" x14ac:dyDescent="0.3">
      <c r="A275" t="s">
        <v>613</v>
      </c>
      <c r="B275" t="s">
        <v>614</v>
      </c>
      <c r="C275" s="1">
        <v>18845</v>
      </c>
      <c r="D275" t="s">
        <v>15</v>
      </c>
      <c r="E275" t="s">
        <v>72</v>
      </c>
      <c r="F275" t="s">
        <v>84</v>
      </c>
      <c r="G275" t="s">
        <v>88</v>
      </c>
      <c r="H275" s="1">
        <v>45094</v>
      </c>
      <c r="I275" s="1">
        <v>45107</v>
      </c>
      <c r="J275" s="3">
        <v>11134.49</v>
      </c>
      <c r="K275" s="4">
        <f t="shared" si="22"/>
        <v>13</v>
      </c>
      <c r="L275" t="str">
        <f t="shared" si="19"/>
        <v>Jun</v>
      </c>
      <c r="M275">
        <f t="shared" si="20"/>
        <v>2023</v>
      </c>
      <c r="N275">
        <f t="shared" si="21"/>
        <v>71</v>
      </c>
    </row>
    <row r="276" spans="1:14" x14ac:dyDescent="0.3">
      <c r="A276" t="s">
        <v>615</v>
      </c>
      <c r="B276" t="s">
        <v>616</v>
      </c>
      <c r="C276" s="1">
        <v>17031</v>
      </c>
      <c r="D276" t="s">
        <v>21</v>
      </c>
      <c r="E276" t="s">
        <v>2141</v>
      </c>
      <c r="F276" t="s">
        <v>286</v>
      </c>
      <c r="G276" t="s">
        <v>357</v>
      </c>
      <c r="H276" s="1">
        <v>44458</v>
      </c>
      <c r="I276" s="1">
        <v>44471</v>
      </c>
      <c r="J276" s="3">
        <v>11078.84</v>
      </c>
      <c r="K276" s="4">
        <f t="shared" si="22"/>
        <v>13</v>
      </c>
      <c r="L276" t="str">
        <f t="shared" si="19"/>
        <v>Sep</v>
      </c>
      <c r="M276">
        <f t="shared" si="20"/>
        <v>2021</v>
      </c>
      <c r="N276">
        <f t="shared" si="21"/>
        <v>75</v>
      </c>
    </row>
    <row r="277" spans="1:14" x14ac:dyDescent="0.3">
      <c r="A277" t="s">
        <v>617</v>
      </c>
      <c r="B277" t="s">
        <v>618</v>
      </c>
      <c r="C277" s="1">
        <v>10442</v>
      </c>
      <c r="D277" t="s">
        <v>21</v>
      </c>
      <c r="E277" t="s">
        <v>2142</v>
      </c>
      <c r="F277" t="s">
        <v>95</v>
      </c>
      <c r="G277" t="s">
        <v>305</v>
      </c>
      <c r="H277" s="1">
        <v>45317</v>
      </c>
      <c r="I277" s="1">
        <v>45333</v>
      </c>
      <c r="J277" s="3">
        <v>11058.58</v>
      </c>
      <c r="K277" s="4">
        <f t="shared" si="22"/>
        <v>16</v>
      </c>
      <c r="L277" t="str">
        <f t="shared" si="19"/>
        <v>Jan</v>
      </c>
      <c r="M277">
        <f t="shared" si="20"/>
        <v>2024</v>
      </c>
      <c r="N277">
        <f t="shared" si="21"/>
        <v>95</v>
      </c>
    </row>
    <row r="278" spans="1:14" x14ac:dyDescent="0.3">
      <c r="A278" t="s">
        <v>619</v>
      </c>
      <c r="B278" t="s">
        <v>620</v>
      </c>
      <c r="C278" s="1">
        <v>38110</v>
      </c>
      <c r="D278" t="s">
        <v>21</v>
      </c>
      <c r="E278" t="s">
        <v>2146</v>
      </c>
      <c r="F278" t="s">
        <v>191</v>
      </c>
      <c r="G278" t="s">
        <v>308</v>
      </c>
      <c r="H278" s="1">
        <v>45405</v>
      </c>
      <c r="I278" s="1">
        <v>45421</v>
      </c>
      <c r="J278" s="3">
        <v>11033.94</v>
      </c>
      <c r="K278" s="4">
        <f t="shared" si="22"/>
        <v>16</v>
      </c>
      <c r="L278" t="str">
        <f t="shared" si="19"/>
        <v>Apr</v>
      </c>
      <c r="M278">
        <f t="shared" si="20"/>
        <v>2024</v>
      </c>
      <c r="N278">
        <f t="shared" si="21"/>
        <v>19</v>
      </c>
    </row>
    <row r="279" spans="1:14" x14ac:dyDescent="0.3">
      <c r="A279" t="s">
        <v>621</v>
      </c>
      <c r="B279" t="s">
        <v>622</v>
      </c>
      <c r="C279" s="1">
        <v>37805</v>
      </c>
      <c r="D279" t="s">
        <v>15</v>
      </c>
      <c r="E279" t="s">
        <v>2141</v>
      </c>
      <c r="F279" t="s">
        <v>84</v>
      </c>
      <c r="G279" t="s">
        <v>357</v>
      </c>
      <c r="H279" s="1">
        <v>45008</v>
      </c>
      <c r="I279" s="1">
        <v>45027</v>
      </c>
      <c r="J279" s="3">
        <v>10954.83</v>
      </c>
      <c r="K279" s="4">
        <f t="shared" si="22"/>
        <v>19</v>
      </c>
      <c r="L279" t="str">
        <f t="shared" si="19"/>
        <v>Mar</v>
      </c>
      <c r="M279">
        <f t="shared" si="20"/>
        <v>2023</v>
      </c>
      <c r="N279">
        <f t="shared" si="21"/>
        <v>19</v>
      </c>
    </row>
    <row r="280" spans="1:14" x14ac:dyDescent="0.3">
      <c r="A280" t="s">
        <v>623</v>
      </c>
      <c r="B280" t="s">
        <v>624</v>
      </c>
      <c r="C280" s="1">
        <v>12521</v>
      </c>
      <c r="D280" t="s">
        <v>21</v>
      </c>
      <c r="E280" t="s">
        <v>2146</v>
      </c>
      <c r="F280" t="s">
        <v>84</v>
      </c>
      <c r="G280" t="s">
        <v>427</v>
      </c>
      <c r="H280" s="1">
        <v>45158</v>
      </c>
      <c r="I280" s="1">
        <v>45184</v>
      </c>
      <c r="J280" s="3">
        <v>10948.89</v>
      </c>
      <c r="K280" s="4">
        <f t="shared" si="22"/>
        <v>26</v>
      </c>
      <c r="L280" t="str">
        <f t="shared" si="19"/>
        <v>Aug</v>
      </c>
      <c r="M280">
        <f t="shared" si="20"/>
        <v>2023</v>
      </c>
      <c r="N280">
        <f t="shared" si="21"/>
        <v>89</v>
      </c>
    </row>
    <row r="281" spans="1:14" x14ac:dyDescent="0.3">
      <c r="A281" t="s">
        <v>625</v>
      </c>
      <c r="B281" t="s">
        <v>626</v>
      </c>
      <c r="C281" s="1">
        <v>15337</v>
      </c>
      <c r="D281" t="s">
        <v>21</v>
      </c>
      <c r="E281" t="s">
        <v>2141</v>
      </c>
      <c r="F281" t="s">
        <v>84</v>
      </c>
      <c r="G281" t="s">
        <v>281</v>
      </c>
      <c r="H281" s="1">
        <v>44785</v>
      </c>
      <c r="I281" s="1">
        <v>44807</v>
      </c>
      <c r="J281" s="3">
        <v>10942.61</v>
      </c>
      <c r="K281" s="4">
        <f t="shared" si="22"/>
        <v>22</v>
      </c>
      <c r="L281" t="str">
        <f t="shared" si="19"/>
        <v>Aug</v>
      </c>
      <c r="M281">
        <f t="shared" si="20"/>
        <v>2022</v>
      </c>
      <c r="N281">
        <f t="shared" si="21"/>
        <v>80</v>
      </c>
    </row>
    <row r="282" spans="1:14" x14ac:dyDescent="0.3">
      <c r="A282" t="s">
        <v>627</v>
      </c>
      <c r="B282" t="s">
        <v>628</v>
      </c>
      <c r="C282" s="1">
        <v>11321</v>
      </c>
      <c r="D282" t="s">
        <v>15</v>
      </c>
      <c r="E282" t="s">
        <v>190</v>
      </c>
      <c r="F282" t="s">
        <v>195</v>
      </c>
      <c r="G282" t="s">
        <v>245</v>
      </c>
      <c r="H282" s="1">
        <v>44557</v>
      </c>
      <c r="I282" s="1">
        <v>44572</v>
      </c>
      <c r="J282" s="3">
        <v>10847.14</v>
      </c>
      <c r="K282" s="4">
        <f t="shared" si="22"/>
        <v>15</v>
      </c>
      <c r="L282" t="str">
        <f t="shared" si="19"/>
        <v>Dec</v>
      </c>
      <c r="M282">
        <f t="shared" si="20"/>
        <v>2021</v>
      </c>
      <c r="N282">
        <f t="shared" si="21"/>
        <v>90</v>
      </c>
    </row>
    <row r="283" spans="1:14" x14ac:dyDescent="0.3">
      <c r="A283" t="s">
        <v>629</v>
      </c>
      <c r="B283" t="s">
        <v>630</v>
      </c>
      <c r="C283" s="1">
        <v>22952</v>
      </c>
      <c r="D283" t="s">
        <v>21</v>
      </c>
      <c r="E283" t="s">
        <v>294</v>
      </c>
      <c r="F283" t="s">
        <v>385</v>
      </c>
      <c r="G283" t="s">
        <v>296</v>
      </c>
      <c r="H283" s="1">
        <v>45174</v>
      </c>
      <c r="I283" s="1">
        <v>45194</v>
      </c>
      <c r="J283" s="3">
        <v>10573.24</v>
      </c>
      <c r="K283" s="4">
        <f t="shared" si="22"/>
        <v>20</v>
      </c>
      <c r="L283" t="str">
        <f t="shared" si="19"/>
        <v>Sep</v>
      </c>
      <c r="M283">
        <f t="shared" si="20"/>
        <v>2023</v>
      </c>
      <c r="N283">
        <f t="shared" si="21"/>
        <v>60</v>
      </c>
    </row>
    <row r="284" spans="1:14" x14ac:dyDescent="0.3">
      <c r="A284" t="s">
        <v>631</v>
      </c>
      <c r="B284" t="s">
        <v>632</v>
      </c>
      <c r="C284" s="1">
        <v>37490</v>
      </c>
      <c r="D284" t="s">
        <v>15</v>
      </c>
      <c r="E284" t="s">
        <v>294</v>
      </c>
      <c r="F284" t="s">
        <v>95</v>
      </c>
      <c r="G284" t="s">
        <v>410</v>
      </c>
      <c r="H284" s="1">
        <v>44711</v>
      </c>
      <c r="I284" s="1">
        <v>44713</v>
      </c>
      <c r="J284" s="3">
        <v>10525.4</v>
      </c>
      <c r="K284" s="4">
        <f t="shared" si="22"/>
        <v>2</v>
      </c>
      <c r="L284" t="str">
        <f t="shared" si="19"/>
        <v>May</v>
      </c>
      <c r="M284">
        <f t="shared" si="20"/>
        <v>2022</v>
      </c>
      <c r="N284">
        <f t="shared" si="21"/>
        <v>19</v>
      </c>
    </row>
    <row r="285" spans="1:14" x14ac:dyDescent="0.3">
      <c r="A285" s="2" t="s">
        <v>633</v>
      </c>
      <c r="B285" t="s">
        <v>634</v>
      </c>
      <c r="C285" s="1">
        <v>10832</v>
      </c>
      <c r="D285" t="s">
        <v>21</v>
      </c>
      <c r="E285" t="s">
        <v>2146</v>
      </c>
      <c r="F285" t="s">
        <v>191</v>
      </c>
      <c r="G285" t="s">
        <v>274</v>
      </c>
      <c r="H285" s="1">
        <v>44643</v>
      </c>
      <c r="I285" s="1">
        <v>44658</v>
      </c>
      <c r="J285" s="3">
        <v>10516.67</v>
      </c>
      <c r="K285" s="4">
        <f xml:space="preserve"> I285-H285</f>
        <v>15</v>
      </c>
      <c r="L285" t="str">
        <f t="shared" si="19"/>
        <v>Mar</v>
      </c>
      <c r="M285">
        <f t="shared" si="20"/>
        <v>2022</v>
      </c>
      <c r="N285">
        <f t="shared" si="21"/>
        <v>92</v>
      </c>
    </row>
    <row r="286" spans="1:14" x14ac:dyDescent="0.3">
      <c r="A286" t="s">
        <v>635</v>
      </c>
      <c r="B286" t="s">
        <v>636</v>
      </c>
      <c r="C286" s="1">
        <v>24777</v>
      </c>
      <c r="D286" t="s">
        <v>15</v>
      </c>
      <c r="E286" t="s">
        <v>481</v>
      </c>
      <c r="F286" t="s">
        <v>17</v>
      </c>
      <c r="G286" t="s">
        <v>482</v>
      </c>
      <c r="H286" s="1">
        <v>45313</v>
      </c>
      <c r="I286" s="1">
        <v>45317</v>
      </c>
      <c r="J286" s="3">
        <v>10431.379999999999</v>
      </c>
      <c r="K286" s="4">
        <f t="shared" ref="K286:K297" si="23" xml:space="preserve"> I286-H286</f>
        <v>4</v>
      </c>
      <c r="L286" t="str">
        <f t="shared" si="19"/>
        <v>Jan</v>
      </c>
      <c r="M286">
        <f t="shared" si="20"/>
        <v>2024</v>
      </c>
      <c r="N286">
        <f t="shared" si="21"/>
        <v>56</v>
      </c>
    </row>
    <row r="287" spans="1:14" x14ac:dyDescent="0.3">
      <c r="A287" t="s">
        <v>637</v>
      </c>
      <c r="B287" t="s">
        <v>638</v>
      </c>
      <c r="C287" s="1">
        <v>25813</v>
      </c>
      <c r="D287" t="s">
        <v>21</v>
      </c>
      <c r="E287" t="s">
        <v>294</v>
      </c>
      <c r="F287" t="s">
        <v>95</v>
      </c>
      <c r="G287" t="s">
        <v>296</v>
      </c>
      <c r="H287" s="1">
        <v>45333</v>
      </c>
      <c r="I287" s="1">
        <v>45358</v>
      </c>
      <c r="J287" s="3">
        <v>10381.83</v>
      </c>
      <c r="K287" s="4">
        <f t="shared" si="23"/>
        <v>25</v>
      </c>
      <c r="L287" t="str">
        <f t="shared" si="19"/>
        <v>Feb</v>
      </c>
      <c r="M287">
        <f t="shared" si="20"/>
        <v>2024</v>
      </c>
      <c r="N287">
        <f t="shared" si="21"/>
        <v>53</v>
      </c>
    </row>
    <row r="288" spans="1:14" x14ac:dyDescent="0.3">
      <c r="A288" t="s">
        <v>639</v>
      </c>
      <c r="B288" t="s">
        <v>640</v>
      </c>
      <c r="C288" s="1">
        <v>29718</v>
      </c>
      <c r="D288" t="s">
        <v>21</v>
      </c>
      <c r="E288" t="s">
        <v>2143</v>
      </c>
      <c r="F288" t="s">
        <v>191</v>
      </c>
      <c r="G288" t="s">
        <v>476</v>
      </c>
      <c r="H288" s="1">
        <v>45449</v>
      </c>
      <c r="I288" s="1">
        <v>45453</v>
      </c>
      <c r="J288" s="3">
        <v>10302.26</v>
      </c>
      <c r="K288" s="4">
        <f t="shared" si="23"/>
        <v>4</v>
      </c>
      <c r="L288" t="str">
        <f t="shared" si="19"/>
        <v>Jun</v>
      </c>
      <c r="M288">
        <f t="shared" si="20"/>
        <v>2024</v>
      </c>
      <c r="N288">
        <f t="shared" si="21"/>
        <v>43</v>
      </c>
    </row>
    <row r="289" spans="1:14" x14ac:dyDescent="0.3">
      <c r="A289" t="s">
        <v>641</v>
      </c>
      <c r="B289" t="s">
        <v>642</v>
      </c>
      <c r="C289" s="1">
        <v>17912</v>
      </c>
      <c r="D289" t="s">
        <v>21</v>
      </c>
      <c r="E289" t="s">
        <v>2145</v>
      </c>
      <c r="F289" t="s">
        <v>68</v>
      </c>
      <c r="G289" t="s">
        <v>110</v>
      </c>
      <c r="H289" s="1">
        <v>45440</v>
      </c>
      <c r="I289" s="1">
        <v>45461</v>
      </c>
      <c r="J289" s="3">
        <v>10300.049999999999</v>
      </c>
      <c r="K289" s="4">
        <f t="shared" si="23"/>
        <v>21</v>
      </c>
      <c r="L289" t="str">
        <f t="shared" si="19"/>
        <v>May</v>
      </c>
      <c r="M289">
        <f t="shared" si="20"/>
        <v>2024</v>
      </c>
      <c r="N289">
        <f t="shared" si="21"/>
        <v>75</v>
      </c>
    </row>
    <row r="290" spans="1:14" x14ac:dyDescent="0.3">
      <c r="A290" t="s">
        <v>643</v>
      </c>
      <c r="B290" t="s">
        <v>644</v>
      </c>
      <c r="C290" s="1">
        <v>20450</v>
      </c>
      <c r="D290" t="s">
        <v>21</v>
      </c>
      <c r="E290" t="s">
        <v>2145</v>
      </c>
      <c r="F290" t="s">
        <v>84</v>
      </c>
      <c r="G290" t="s">
        <v>69</v>
      </c>
      <c r="H290" s="1">
        <v>44806</v>
      </c>
      <c r="I290" s="1">
        <v>44815</v>
      </c>
      <c r="J290" s="3">
        <v>10211.709999999999</v>
      </c>
      <c r="K290" s="4">
        <f t="shared" si="23"/>
        <v>9</v>
      </c>
      <c r="L290" t="str">
        <f t="shared" si="19"/>
        <v>Sep</v>
      </c>
      <c r="M290">
        <f t="shared" si="20"/>
        <v>2022</v>
      </c>
      <c r="N290">
        <f t="shared" si="21"/>
        <v>66</v>
      </c>
    </row>
    <row r="291" spans="1:14" x14ac:dyDescent="0.3">
      <c r="A291" t="s">
        <v>645</v>
      </c>
      <c r="B291" t="s">
        <v>646</v>
      </c>
      <c r="C291" s="1">
        <v>25362</v>
      </c>
      <c r="D291" t="s">
        <v>21</v>
      </c>
      <c r="E291" t="s">
        <v>2141</v>
      </c>
      <c r="F291" t="s">
        <v>286</v>
      </c>
      <c r="G291" t="s">
        <v>357</v>
      </c>
      <c r="H291" s="1">
        <v>45239</v>
      </c>
      <c r="I291" s="1">
        <v>45263</v>
      </c>
      <c r="J291" s="3">
        <v>10157.34</v>
      </c>
      <c r="K291" s="4">
        <f t="shared" si="23"/>
        <v>24</v>
      </c>
      <c r="L291" t="str">
        <f t="shared" si="19"/>
        <v>Nov</v>
      </c>
      <c r="M291">
        <f t="shared" si="20"/>
        <v>2023</v>
      </c>
      <c r="N291">
        <f t="shared" si="21"/>
        <v>54</v>
      </c>
    </row>
    <row r="292" spans="1:14" x14ac:dyDescent="0.3">
      <c r="A292" t="s">
        <v>647</v>
      </c>
      <c r="B292" t="s">
        <v>648</v>
      </c>
      <c r="C292" s="1">
        <v>22669</v>
      </c>
      <c r="D292" t="s">
        <v>15</v>
      </c>
      <c r="E292" t="s">
        <v>2146</v>
      </c>
      <c r="F292" t="s">
        <v>191</v>
      </c>
      <c r="G292" t="s">
        <v>308</v>
      </c>
      <c r="H292" s="1">
        <v>45026</v>
      </c>
      <c r="I292" s="1">
        <v>45049</v>
      </c>
      <c r="J292" s="3">
        <v>10123.48</v>
      </c>
      <c r="K292" s="4">
        <f t="shared" si="23"/>
        <v>23</v>
      </c>
      <c r="L292" t="str">
        <f t="shared" si="19"/>
        <v>Apr</v>
      </c>
      <c r="M292">
        <f t="shared" si="20"/>
        <v>2023</v>
      </c>
      <c r="N292">
        <f t="shared" si="21"/>
        <v>61</v>
      </c>
    </row>
    <row r="293" spans="1:14" x14ac:dyDescent="0.3">
      <c r="A293" t="s">
        <v>649</v>
      </c>
      <c r="B293" t="s">
        <v>650</v>
      </c>
      <c r="C293" s="1">
        <v>13484</v>
      </c>
      <c r="D293" t="s">
        <v>15</v>
      </c>
      <c r="E293" t="s">
        <v>481</v>
      </c>
      <c r="F293" t="s">
        <v>17</v>
      </c>
      <c r="G293" t="s">
        <v>482</v>
      </c>
      <c r="H293" s="1">
        <v>44865</v>
      </c>
      <c r="I293" s="1">
        <v>44886</v>
      </c>
      <c r="J293" s="3">
        <v>10106.370000000001</v>
      </c>
      <c r="K293" s="4">
        <f t="shared" si="23"/>
        <v>21</v>
      </c>
      <c r="L293" t="str">
        <f t="shared" si="19"/>
        <v>Oct</v>
      </c>
      <c r="M293">
        <f t="shared" si="20"/>
        <v>2022</v>
      </c>
      <c r="N293">
        <f t="shared" si="21"/>
        <v>85</v>
      </c>
    </row>
    <row r="294" spans="1:14" x14ac:dyDescent="0.3">
      <c r="A294" t="s">
        <v>651</v>
      </c>
      <c r="B294" t="s">
        <v>652</v>
      </c>
      <c r="C294" s="1">
        <v>30401</v>
      </c>
      <c r="D294" t="s">
        <v>21</v>
      </c>
      <c r="E294" t="s">
        <v>2146</v>
      </c>
      <c r="F294" t="s">
        <v>191</v>
      </c>
      <c r="G294" t="s">
        <v>427</v>
      </c>
      <c r="H294" s="1">
        <v>44485</v>
      </c>
      <c r="I294" s="1">
        <v>44494</v>
      </c>
      <c r="J294" s="3">
        <v>10027.870000000001</v>
      </c>
      <c r="K294" s="4">
        <f t="shared" si="23"/>
        <v>9</v>
      </c>
      <c r="L294" t="str">
        <f t="shared" si="19"/>
        <v>Oct</v>
      </c>
      <c r="M294">
        <f t="shared" si="20"/>
        <v>2021</v>
      </c>
      <c r="N294">
        <f t="shared" si="21"/>
        <v>38</v>
      </c>
    </row>
    <row r="295" spans="1:14" x14ac:dyDescent="0.3">
      <c r="A295" t="s">
        <v>653</v>
      </c>
      <c r="B295" t="s">
        <v>654</v>
      </c>
      <c r="C295" s="1">
        <v>20899</v>
      </c>
      <c r="D295" t="s">
        <v>21</v>
      </c>
      <c r="E295" t="s">
        <v>2143</v>
      </c>
      <c r="F295" t="s">
        <v>84</v>
      </c>
      <c r="G295" t="s">
        <v>476</v>
      </c>
      <c r="H295" s="1">
        <v>44996</v>
      </c>
      <c r="I295" s="1">
        <v>45016</v>
      </c>
      <c r="J295" s="3">
        <v>9994.4500000000007</v>
      </c>
      <c r="K295" s="4">
        <f t="shared" si="23"/>
        <v>20</v>
      </c>
      <c r="L295" t="str">
        <f t="shared" si="19"/>
        <v>Mar</v>
      </c>
      <c r="M295">
        <f t="shared" si="20"/>
        <v>2023</v>
      </c>
      <c r="N295">
        <f t="shared" si="21"/>
        <v>65</v>
      </c>
    </row>
    <row r="296" spans="1:14" x14ac:dyDescent="0.3">
      <c r="A296" t="s">
        <v>655</v>
      </c>
      <c r="B296" t="s">
        <v>656</v>
      </c>
      <c r="C296" s="1">
        <v>35181</v>
      </c>
      <c r="D296" t="s">
        <v>21</v>
      </c>
      <c r="E296" t="s">
        <v>657</v>
      </c>
      <c r="F296" t="s">
        <v>658</v>
      </c>
      <c r="G296" t="s">
        <v>659</v>
      </c>
      <c r="H296" s="1">
        <v>44818</v>
      </c>
      <c r="I296" s="1">
        <v>44841</v>
      </c>
      <c r="J296" s="3">
        <v>9924.17</v>
      </c>
      <c r="K296" s="4">
        <f t="shared" si="23"/>
        <v>23</v>
      </c>
      <c r="L296" t="str">
        <f t="shared" si="19"/>
        <v>Sep</v>
      </c>
      <c r="M296">
        <f t="shared" si="20"/>
        <v>2022</v>
      </c>
      <c r="N296">
        <f t="shared" si="21"/>
        <v>26</v>
      </c>
    </row>
    <row r="297" spans="1:14" x14ac:dyDescent="0.3">
      <c r="A297" t="s">
        <v>660</v>
      </c>
      <c r="B297" t="s">
        <v>661</v>
      </c>
      <c r="C297" s="1">
        <v>29165</v>
      </c>
      <c r="D297" t="s">
        <v>15</v>
      </c>
      <c r="E297" t="s">
        <v>657</v>
      </c>
      <c r="F297" t="s">
        <v>658</v>
      </c>
      <c r="G297" t="s">
        <v>659</v>
      </c>
      <c r="H297" s="1">
        <v>45352</v>
      </c>
      <c r="I297" s="1">
        <v>45353</v>
      </c>
      <c r="J297" s="3">
        <v>9792.5300000000007</v>
      </c>
      <c r="K297" s="4">
        <f t="shared" si="23"/>
        <v>1</v>
      </c>
      <c r="L297" t="str">
        <f t="shared" si="19"/>
        <v>Mar</v>
      </c>
      <c r="M297">
        <f t="shared" si="20"/>
        <v>2024</v>
      </c>
      <c r="N297">
        <f t="shared" si="21"/>
        <v>44</v>
      </c>
    </row>
    <row r="298" spans="1:14" x14ac:dyDescent="0.3">
      <c r="A298" t="s">
        <v>662</v>
      </c>
      <c r="B298" t="s">
        <v>663</v>
      </c>
      <c r="C298" s="1">
        <v>29880</v>
      </c>
      <c r="D298" t="s">
        <v>15</v>
      </c>
      <c r="E298" t="s">
        <v>2141</v>
      </c>
      <c r="F298" t="s">
        <v>84</v>
      </c>
      <c r="G298" t="s">
        <v>281</v>
      </c>
      <c r="H298" s="1">
        <v>45364</v>
      </c>
      <c r="I298" s="1">
        <v>45370</v>
      </c>
      <c r="J298" s="3">
        <v>9777.85</v>
      </c>
      <c r="K298" s="4">
        <f xml:space="preserve"> I298-H298</f>
        <v>6</v>
      </c>
      <c r="L298" t="str">
        <f t="shared" si="19"/>
        <v>Mar</v>
      </c>
      <c r="M298">
        <f t="shared" si="20"/>
        <v>2024</v>
      </c>
      <c r="N298">
        <f t="shared" si="21"/>
        <v>42</v>
      </c>
    </row>
    <row r="299" spans="1:14" x14ac:dyDescent="0.3">
      <c r="A299" t="s">
        <v>664</v>
      </c>
      <c r="B299" t="s">
        <v>665</v>
      </c>
      <c r="C299" s="1">
        <v>17017</v>
      </c>
      <c r="D299" t="s">
        <v>15</v>
      </c>
      <c r="E299" t="s">
        <v>657</v>
      </c>
      <c r="F299" t="s">
        <v>191</v>
      </c>
      <c r="G299" t="s">
        <v>666</v>
      </c>
      <c r="H299" s="1">
        <v>45474</v>
      </c>
      <c r="I299" s="1">
        <v>45488</v>
      </c>
      <c r="J299" s="3">
        <v>9715.33</v>
      </c>
      <c r="K299" s="4">
        <f t="shared" ref="K299:K344" si="24" xml:space="preserve"> I299-H299</f>
        <v>14</v>
      </c>
      <c r="L299" t="str">
        <f t="shared" si="19"/>
        <v>Jul</v>
      </c>
      <c r="M299">
        <f t="shared" si="20"/>
        <v>2024</v>
      </c>
      <c r="N299">
        <f t="shared" si="21"/>
        <v>77</v>
      </c>
    </row>
    <row r="300" spans="1:14" x14ac:dyDescent="0.3">
      <c r="A300" t="s">
        <v>667</v>
      </c>
      <c r="B300" t="s">
        <v>668</v>
      </c>
      <c r="C300" s="1">
        <v>30600</v>
      </c>
      <c r="D300" t="s">
        <v>21</v>
      </c>
      <c r="E300" t="s">
        <v>294</v>
      </c>
      <c r="F300" t="s">
        <v>385</v>
      </c>
      <c r="G300" t="s">
        <v>410</v>
      </c>
      <c r="H300" s="1">
        <v>44747</v>
      </c>
      <c r="I300" s="1">
        <v>44766</v>
      </c>
      <c r="J300" s="3">
        <v>9695.25</v>
      </c>
      <c r="K300" s="4">
        <f t="shared" si="24"/>
        <v>19</v>
      </c>
      <c r="L300" t="str">
        <f t="shared" si="19"/>
        <v>Jul</v>
      </c>
      <c r="M300">
        <f t="shared" si="20"/>
        <v>2022</v>
      </c>
      <c r="N300">
        <f t="shared" si="21"/>
        <v>38</v>
      </c>
    </row>
    <row r="301" spans="1:14" x14ac:dyDescent="0.3">
      <c r="A301" t="s">
        <v>669</v>
      </c>
      <c r="B301" t="s">
        <v>670</v>
      </c>
      <c r="C301" s="1">
        <v>44724</v>
      </c>
      <c r="D301" t="s">
        <v>15</v>
      </c>
      <c r="E301" t="s">
        <v>481</v>
      </c>
      <c r="F301" t="s">
        <v>17</v>
      </c>
      <c r="G301" t="s">
        <v>506</v>
      </c>
      <c r="H301" s="1">
        <v>44739</v>
      </c>
      <c r="I301" s="1">
        <v>44740</v>
      </c>
      <c r="J301" s="3">
        <v>9618.17</v>
      </c>
      <c r="K301" s="4">
        <f t="shared" si="24"/>
        <v>1</v>
      </c>
      <c r="L301" t="str">
        <f t="shared" si="19"/>
        <v>Jun</v>
      </c>
      <c r="M301">
        <f t="shared" si="20"/>
        <v>2022</v>
      </c>
      <c r="N301">
        <f t="shared" si="21"/>
        <v>0</v>
      </c>
    </row>
    <row r="302" spans="1:14" x14ac:dyDescent="0.3">
      <c r="A302" t="s">
        <v>671</v>
      </c>
      <c r="B302" t="s">
        <v>672</v>
      </c>
      <c r="C302" s="1">
        <v>11228</v>
      </c>
      <c r="D302" t="s">
        <v>21</v>
      </c>
      <c r="E302" t="s">
        <v>673</v>
      </c>
      <c r="F302" t="s">
        <v>84</v>
      </c>
      <c r="G302" t="s">
        <v>674</v>
      </c>
      <c r="H302" s="1">
        <v>44675</v>
      </c>
      <c r="I302" s="1">
        <v>44676</v>
      </c>
      <c r="J302" s="3">
        <v>9493.17</v>
      </c>
      <c r="K302" s="4">
        <f t="shared" si="24"/>
        <v>1</v>
      </c>
      <c r="L302" t="str">
        <f t="shared" si="19"/>
        <v>Apr</v>
      </c>
      <c r="M302">
        <f t="shared" si="20"/>
        <v>2022</v>
      </c>
      <c r="N302">
        <f t="shared" si="21"/>
        <v>91</v>
      </c>
    </row>
    <row r="303" spans="1:14" x14ac:dyDescent="0.3">
      <c r="A303" t="s">
        <v>675</v>
      </c>
      <c r="B303" t="s">
        <v>676</v>
      </c>
      <c r="C303" s="1">
        <v>34329</v>
      </c>
      <c r="D303" t="s">
        <v>21</v>
      </c>
      <c r="E303" t="s">
        <v>673</v>
      </c>
      <c r="F303" t="s">
        <v>84</v>
      </c>
      <c r="G303" t="s">
        <v>677</v>
      </c>
      <c r="H303" s="1">
        <v>45084</v>
      </c>
      <c r="I303" s="1">
        <v>45103</v>
      </c>
      <c r="J303" s="3">
        <v>9490.49</v>
      </c>
      <c r="K303" s="4">
        <f t="shared" si="24"/>
        <v>19</v>
      </c>
      <c r="L303" t="str">
        <f t="shared" si="19"/>
        <v>Jun</v>
      </c>
      <c r="M303">
        <f t="shared" si="20"/>
        <v>2023</v>
      </c>
      <c r="N303">
        <f t="shared" si="21"/>
        <v>29</v>
      </c>
    </row>
    <row r="304" spans="1:14" x14ac:dyDescent="0.3">
      <c r="A304" t="s">
        <v>678</v>
      </c>
      <c r="B304" t="s">
        <v>679</v>
      </c>
      <c r="C304" s="1">
        <v>44063</v>
      </c>
      <c r="D304" t="s">
        <v>15</v>
      </c>
      <c r="E304" t="s">
        <v>2141</v>
      </c>
      <c r="F304" t="s">
        <v>84</v>
      </c>
      <c r="G304" t="s">
        <v>281</v>
      </c>
      <c r="H304" s="1">
        <v>45477</v>
      </c>
      <c r="I304" s="1">
        <v>45503</v>
      </c>
      <c r="J304" s="3">
        <v>9377.07</v>
      </c>
      <c r="K304" s="4">
        <f t="shared" si="24"/>
        <v>26</v>
      </c>
      <c r="L304" t="str">
        <f t="shared" si="19"/>
        <v>Jul</v>
      </c>
      <c r="M304">
        <f t="shared" si="20"/>
        <v>2024</v>
      </c>
      <c r="N304">
        <f t="shared" si="21"/>
        <v>3</v>
      </c>
    </row>
    <row r="305" spans="1:14" x14ac:dyDescent="0.3">
      <c r="A305" t="s">
        <v>680</v>
      </c>
      <c r="B305" t="s">
        <v>681</v>
      </c>
      <c r="C305" s="1">
        <v>10842</v>
      </c>
      <c r="D305" t="s">
        <v>21</v>
      </c>
      <c r="E305" t="s">
        <v>682</v>
      </c>
      <c r="F305" t="s">
        <v>683</v>
      </c>
      <c r="G305" t="s">
        <v>684</v>
      </c>
      <c r="H305" s="1">
        <v>45104</v>
      </c>
      <c r="I305" s="1">
        <v>45123</v>
      </c>
      <c r="J305" s="3">
        <v>9347.69</v>
      </c>
      <c r="K305" s="4">
        <f t="shared" si="24"/>
        <v>19</v>
      </c>
      <c r="L305" t="str">
        <f t="shared" ref="L305:L368" si="25">TEXT(H305,"mmm")</f>
        <v>Jun</v>
      </c>
      <c r="M305">
        <f t="shared" si="20"/>
        <v>2023</v>
      </c>
      <c r="N305">
        <f t="shared" si="21"/>
        <v>93</v>
      </c>
    </row>
    <row r="306" spans="1:14" x14ac:dyDescent="0.3">
      <c r="A306" t="s">
        <v>685</v>
      </c>
      <c r="B306" t="s">
        <v>686</v>
      </c>
      <c r="C306" s="1">
        <v>24940</v>
      </c>
      <c r="D306" t="s">
        <v>21</v>
      </c>
      <c r="E306" t="s">
        <v>657</v>
      </c>
      <c r="F306" t="s">
        <v>658</v>
      </c>
      <c r="G306" t="s">
        <v>659</v>
      </c>
      <c r="H306" s="1">
        <v>45290</v>
      </c>
      <c r="I306" s="1">
        <v>45319</v>
      </c>
      <c r="J306" s="3">
        <v>9319.48</v>
      </c>
      <c r="K306" s="4">
        <f t="shared" si="24"/>
        <v>29</v>
      </c>
      <c r="L306" t="str">
        <f t="shared" si="25"/>
        <v>Dec</v>
      </c>
      <c r="M306">
        <f t="shared" si="20"/>
        <v>2023</v>
      </c>
      <c r="N306">
        <f t="shared" si="21"/>
        <v>55</v>
      </c>
    </row>
    <row r="307" spans="1:14" x14ac:dyDescent="0.3">
      <c r="A307" t="s">
        <v>687</v>
      </c>
      <c r="B307" t="s">
        <v>688</v>
      </c>
      <c r="C307" s="1">
        <v>35201</v>
      </c>
      <c r="D307" t="s">
        <v>15</v>
      </c>
      <c r="E307" t="s">
        <v>2146</v>
      </c>
      <c r="F307" t="s">
        <v>191</v>
      </c>
      <c r="G307" t="s">
        <v>427</v>
      </c>
      <c r="H307" s="1">
        <v>45462</v>
      </c>
      <c r="I307" s="1">
        <v>45482</v>
      </c>
      <c r="J307" s="3">
        <v>9214.65</v>
      </c>
      <c r="K307" s="4">
        <f t="shared" si="24"/>
        <v>20</v>
      </c>
      <c r="L307" t="str">
        <f t="shared" si="25"/>
        <v>Jun</v>
      </c>
      <c r="M307">
        <f t="shared" si="20"/>
        <v>2024</v>
      </c>
      <c r="N307">
        <f t="shared" si="21"/>
        <v>28</v>
      </c>
    </row>
    <row r="308" spans="1:14" x14ac:dyDescent="0.3">
      <c r="A308" t="s">
        <v>689</v>
      </c>
      <c r="B308" t="s">
        <v>690</v>
      </c>
      <c r="C308" s="1">
        <v>18125</v>
      </c>
      <c r="D308" t="s">
        <v>15</v>
      </c>
      <c r="E308" t="s">
        <v>481</v>
      </c>
      <c r="F308" t="s">
        <v>84</v>
      </c>
      <c r="G308" t="s">
        <v>495</v>
      </c>
      <c r="H308" s="1">
        <v>44447</v>
      </c>
      <c r="I308" s="1">
        <v>44450</v>
      </c>
      <c r="J308" s="3">
        <v>9175.58</v>
      </c>
      <c r="K308" s="4">
        <f t="shared" si="24"/>
        <v>3</v>
      </c>
      <c r="L308" t="str">
        <f t="shared" si="25"/>
        <v>Sep</v>
      </c>
      <c r="M308">
        <f t="shared" si="20"/>
        <v>2021</v>
      </c>
      <c r="N308">
        <f t="shared" si="21"/>
        <v>72</v>
      </c>
    </row>
    <row r="309" spans="1:14" x14ac:dyDescent="0.3">
      <c r="A309" t="s">
        <v>691</v>
      </c>
      <c r="B309" t="s">
        <v>692</v>
      </c>
      <c r="C309" s="1">
        <v>44575</v>
      </c>
      <c r="D309" t="s">
        <v>15</v>
      </c>
      <c r="E309" t="s">
        <v>673</v>
      </c>
      <c r="F309" t="s">
        <v>191</v>
      </c>
      <c r="G309" t="s">
        <v>674</v>
      </c>
      <c r="H309" s="1">
        <v>45078</v>
      </c>
      <c r="I309" s="1">
        <v>45101</v>
      </c>
      <c r="J309" s="3">
        <v>9168.7099999999991</v>
      </c>
      <c r="K309" s="4">
        <f t="shared" si="24"/>
        <v>23</v>
      </c>
      <c r="L309" t="str">
        <f t="shared" si="25"/>
        <v>Jun</v>
      </c>
      <c r="M309">
        <f t="shared" si="20"/>
        <v>2023</v>
      </c>
      <c r="N309">
        <f t="shared" si="21"/>
        <v>1</v>
      </c>
    </row>
    <row r="310" spans="1:14" x14ac:dyDescent="0.3">
      <c r="A310" t="s">
        <v>693</v>
      </c>
      <c r="B310" t="s">
        <v>694</v>
      </c>
      <c r="C310" s="1">
        <v>32195</v>
      </c>
      <c r="D310" t="s">
        <v>15</v>
      </c>
      <c r="E310" t="s">
        <v>682</v>
      </c>
      <c r="F310" t="s">
        <v>683</v>
      </c>
      <c r="G310" t="s">
        <v>684</v>
      </c>
      <c r="H310" s="1">
        <v>45079</v>
      </c>
      <c r="I310" s="1">
        <v>45086</v>
      </c>
      <c r="J310" s="3">
        <v>9154.36</v>
      </c>
      <c r="K310" s="4">
        <f t="shared" si="24"/>
        <v>7</v>
      </c>
      <c r="L310" t="str">
        <f t="shared" si="25"/>
        <v>Jun</v>
      </c>
      <c r="M310">
        <f t="shared" si="20"/>
        <v>2023</v>
      </c>
      <c r="N310">
        <f t="shared" si="21"/>
        <v>35</v>
      </c>
    </row>
    <row r="311" spans="1:14" x14ac:dyDescent="0.3">
      <c r="A311" t="s">
        <v>695</v>
      </c>
      <c r="B311" t="s">
        <v>696</v>
      </c>
      <c r="C311" s="1">
        <v>37686</v>
      </c>
      <c r="D311" t="s">
        <v>21</v>
      </c>
      <c r="E311" t="s">
        <v>481</v>
      </c>
      <c r="F311" t="s">
        <v>17</v>
      </c>
      <c r="G311" t="s">
        <v>482</v>
      </c>
      <c r="H311" s="1">
        <v>44505</v>
      </c>
      <c r="I311" s="1">
        <v>44510</v>
      </c>
      <c r="J311" s="3">
        <v>9149.93</v>
      </c>
      <c r="K311" s="4">
        <f t="shared" si="24"/>
        <v>5</v>
      </c>
      <c r="L311" t="str">
        <f t="shared" si="25"/>
        <v>Nov</v>
      </c>
      <c r="M311">
        <f t="shared" si="20"/>
        <v>2021</v>
      </c>
      <c r="N311">
        <f t="shared" si="21"/>
        <v>18</v>
      </c>
    </row>
    <row r="312" spans="1:14" x14ac:dyDescent="0.3">
      <c r="A312" t="s">
        <v>697</v>
      </c>
      <c r="B312" t="s">
        <v>698</v>
      </c>
      <c r="C312" s="1">
        <v>18051</v>
      </c>
      <c r="D312" t="s">
        <v>15</v>
      </c>
      <c r="E312" t="s">
        <v>657</v>
      </c>
      <c r="F312" t="s">
        <v>191</v>
      </c>
      <c r="G312" t="s">
        <v>699</v>
      </c>
      <c r="H312" s="1">
        <v>45043</v>
      </c>
      <c r="I312" s="1">
        <v>45058</v>
      </c>
      <c r="J312" s="3">
        <v>9115.1200000000008</v>
      </c>
      <c r="K312" s="4">
        <f t="shared" si="24"/>
        <v>15</v>
      </c>
      <c r="L312" t="str">
        <f t="shared" si="25"/>
        <v>Apr</v>
      </c>
      <c r="M312">
        <f t="shared" si="20"/>
        <v>2023</v>
      </c>
      <c r="N312">
        <f t="shared" si="21"/>
        <v>73</v>
      </c>
    </row>
    <row r="313" spans="1:14" x14ac:dyDescent="0.3">
      <c r="A313" t="s">
        <v>700</v>
      </c>
      <c r="B313" t="s">
        <v>701</v>
      </c>
      <c r="C313" s="1">
        <v>13723</v>
      </c>
      <c r="D313" t="s">
        <v>15</v>
      </c>
      <c r="E313" t="s">
        <v>294</v>
      </c>
      <c r="F313" t="s">
        <v>95</v>
      </c>
      <c r="G313" t="s">
        <v>311</v>
      </c>
      <c r="H313" s="1">
        <v>44910</v>
      </c>
      <c r="I313" s="1">
        <v>44916</v>
      </c>
      <c r="J313" s="3">
        <v>9096.74</v>
      </c>
      <c r="K313" s="4">
        <f t="shared" si="24"/>
        <v>6</v>
      </c>
      <c r="L313" t="str">
        <f t="shared" si="25"/>
        <v>Dec</v>
      </c>
      <c r="M313">
        <f t="shared" si="20"/>
        <v>2022</v>
      </c>
      <c r="N313">
        <f t="shared" si="21"/>
        <v>85</v>
      </c>
    </row>
    <row r="314" spans="1:14" x14ac:dyDescent="0.3">
      <c r="A314" t="s">
        <v>702</v>
      </c>
      <c r="B314" t="s">
        <v>703</v>
      </c>
      <c r="C314" s="1">
        <v>41877</v>
      </c>
      <c r="D314" t="s">
        <v>15</v>
      </c>
      <c r="E314" t="s">
        <v>682</v>
      </c>
      <c r="F314" t="s">
        <v>84</v>
      </c>
      <c r="G314" t="s">
        <v>704</v>
      </c>
      <c r="H314" s="1">
        <v>44999</v>
      </c>
      <c r="I314" s="1">
        <v>45020</v>
      </c>
      <c r="J314" s="3">
        <v>9015.81</v>
      </c>
      <c r="K314" s="4">
        <f t="shared" si="24"/>
        <v>21</v>
      </c>
      <c r="L314" t="str">
        <f t="shared" si="25"/>
        <v>Mar</v>
      </c>
      <c r="M314">
        <f t="shared" si="20"/>
        <v>2023</v>
      </c>
      <c r="N314">
        <f t="shared" si="21"/>
        <v>8</v>
      </c>
    </row>
    <row r="315" spans="1:14" x14ac:dyDescent="0.3">
      <c r="A315" t="s">
        <v>705</v>
      </c>
      <c r="B315" t="s">
        <v>706</v>
      </c>
      <c r="C315" s="1">
        <v>32956</v>
      </c>
      <c r="D315" t="s">
        <v>21</v>
      </c>
      <c r="E315" t="s">
        <v>481</v>
      </c>
      <c r="F315" t="s">
        <v>17</v>
      </c>
      <c r="G315" t="s">
        <v>506</v>
      </c>
      <c r="H315" s="1">
        <v>45299</v>
      </c>
      <c r="I315" s="1">
        <v>45327</v>
      </c>
      <c r="J315" s="3">
        <v>8946.19</v>
      </c>
      <c r="K315" s="4">
        <f t="shared" si="24"/>
        <v>28</v>
      </c>
      <c r="L315" t="str">
        <f t="shared" si="25"/>
        <v>Jan</v>
      </c>
      <c r="M315">
        <f t="shared" si="20"/>
        <v>2024</v>
      </c>
      <c r="N315">
        <f t="shared" si="21"/>
        <v>33</v>
      </c>
    </row>
    <row r="316" spans="1:14" x14ac:dyDescent="0.3">
      <c r="A316" t="s">
        <v>707</v>
      </c>
      <c r="B316" t="s">
        <v>708</v>
      </c>
      <c r="C316" s="1">
        <v>9531</v>
      </c>
      <c r="D316" t="s">
        <v>15</v>
      </c>
      <c r="E316" t="s">
        <v>2146</v>
      </c>
      <c r="F316" t="s">
        <v>84</v>
      </c>
      <c r="G316" t="s">
        <v>274</v>
      </c>
      <c r="H316" s="1">
        <v>44744</v>
      </c>
      <c r="I316" s="1">
        <v>44772</v>
      </c>
      <c r="J316" s="3">
        <v>8877.17</v>
      </c>
      <c r="K316" s="4">
        <f t="shared" si="24"/>
        <v>28</v>
      </c>
      <c r="L316" t="str">
        <f t="shared" si="25"/>
        <v>Jul</v>
      </c>
      <c r="M316">
        <f t="shared" si="20"/>
        <v>2022</v>
      </c>
      <c r="N316">
        <f t="shared" si="21"/>
        <v>96</v>
      </c>
    </row>
    <row r="317" spans="1:14" x14ac:dyDescent="0.3">
      <c r="A317" t="s">
        <v>709</v>
      </c>
      <c r="B317" t="s">
        <v>710</v>
      </c>
      <c r="C317" s="1">
        <v>37265</v>
      </c>
      <c r="D317" t="s">
        <v>21</v>
      </c>
      <c r="E317" t="s">
        <v>294</v>
      </c>
      <c r="F317" t="s">
        <v>295</v>
      </c>
      <c r="G317" t="s">
        <v>311</v>
      </c>
      <c r="H317" s="1">
        <v>45293</v>
      </c>
      <c r="I317" s="1">
        <v>45297</v>
      </c>
      <c r="J317" s="3">
        <v>8873.02</v>
      </c>
      <c r="K317" s="4">
        <f t="shared" si="24"/>
        <v>4</v>
      </c>
      <c r="L317" t="str">
        <f t="shared" si="25"/>
        <v>Jan</v>
      </c>
      <c r="M317">
        <f t="shared" si="20"/>
        <v>2024</v>
      </c>
      <c r="N317">
        <f t="shared" si="21"/>
        <v>21</v>
      </c>
    </row>
    <row r="318" spans="1:14" x14ac:dyDescent="0.3">
      <c r="A318" t="s">
        <v>711</v>
      </c>
      <c r="B318" t="s">
        <v>712</v>
      </c>
      <c r="C318" s="1">
        <v>13355</v>
      </c>
      <c r="D318" t="s">
        <v>15</v>
      </c>
      <c r="E318" t="s">
        <v>2143</v>
      </c>
      <c r="F318" t="s">
        <v>191</v>
      </c>
      <c r="G318" t="s">
        <v>476</v>
      </c>
      <c r="H318" s="1">
        <v>44949</v>
      </c>
      <c r="I318" s="1">
        <v>44962</v>
      </c>
      <c r="J318" s="3">
        <v>8849.35</v>
      </c>
      <c r="K318" s="4">
        <f t="shared" si="24"/>
        <v>13</v>
      </c>
      <c r="L318" t="str">
        <f t="shared" si="25"/>
        <v>Jan</v>
      </c>
      <c r="M318">
        <f t="shared" ref="M318:M380" si="26">YEAR(H318)</f>
        <v>2023</v>
      </c>
      <c r="N318">
        <f t="shared" ref="N318:N380" si="27">DATEDIF(C318, H318, "Y")</f>
        <v>86</v>
      </c>
    </row>
    <row r="319" spans="1:14" x14ac:dyDescent="0.3">
      <c r="A319" t="s">
        <v>713</v>
      </c>
      <c r="B319" t="s">
        <v>714</v>
      </c>
      <c r="C319" s="1">
        <v>44091</v>
      </c>
      <c r="D319" t="s">
        <v>15</v>
      </c>
      <c r="E319" t="s">
        <v>673</v>
      </c>
      <c r="F319" t="s">
        <v>191</v>
      </c>
      <c r="G319" t="s">
        <v>674</v>
      </c>
      <c r="H319" s="1">
        <v>44802</v>
      </c>
      <c r="I319" s="1">
        <v>44810</v>
      </c>
      <c r="J319" s="3">
        <v>8803.19</v>
      </c>
      <c r="K319" s="4">
        <f t="shared" si="24"/>
        <v>8</v>
      </c>
      <c r="L319" t="str">
        <f t="shared" si="25"/>
        <v>Aug</v>
      </c>
      <c r="M319">
        <f t="shared" si="26"/>
        <v>2022</v>
      </c>
      <c r="N319">
        <f t="shared" si="27"/>
        <v>1</v>
      </c>
    </row>
    <row r="320" spans="1:14" x14ac:dyDescent="0.3">
      <c r="A320" t="s">
        <v>715</v>
      </c>
      <c r="B320" t="s">
        <v>716</v>
      </c>
      <c r="C320" s="1">
        <v>36224</v>
      </c>
      <c r="D320" t="s">
        <v>21</v>
      </c>
      <c r="E320" t="s">
        <v>481</v>
      </c>
      <c r="F320" t="s">
        <v>84</v>
      </c>
      <c r="G320" t="s">
        <v>495</v>
      </c>
      <c r="H320" s="1">
        <v>44948</v>
      </c>
      <c r="I320" s="1">
        <v>44965</v>
      </c>
      <c r="J320" s="3">
        <v>8774.7000000000007</v>
      </c>
      <c r="K320" s="4">
        <f t="shared" si="24"/>
        <v>17</v>
      </c>
      <c r="L320" t="str">
        <f t="shared" si="25"/>
        <v>Jan</v>
      </c>
      <c r="M320">
        <f t="shared" si="26"/>
        <v>2023</v>
      </c>
      <c r="N320">
        <f t="shared" si="27"/>
        <v>23</v>
      </c>
    </row>
    <row r="321" spans="1:14" x14ac:dyDescent="0.3">
      <c r="A321" t="s">
        <v>717</v>
      </c>
      <c r="B321" t="s">
        <v>718</v>
      </c>
      <c r="C321" s="1">
        <v>36896</v>
      </c>
      <c r="D321" t="s">
        <v>21</v>
      </c>
      <c r="E321" t="s">
        <v>2146</v>
      </c>
      <c r="F321" t="s">
        <v>84</v>
      </c>
      <c r="G321" t="s">
        <v>308</v>
      </c>
      <c r="H321" s="1">
        <v>45385</v>
      </c>
      <c r="I321" s="1">
        <v>45396</v>
      </c>
      <c r="J321" s="3">
        <v>8742.0400000000009</v>
      </c>
      <c r="K321" s="4">
        <f t="shared" si="24"/>
        <v>11</v>
      </c>
      <c r="L321" t="str">
        <f t="shared" si="25"/>
        <v>Apr</v>
      </c>
      <c r="M321">
        <f t="shared" si="26"/>
        <v>2024</v>
      </c>
      <c r="N321">
        <f t="shared" si="27"/>
        <v>23</v>
      </c>
    </row>
    <row r="322" spans="1:14" x14ac:dyDescent="0.3">
      <c r="A322" t="s">
        <v>719</v>
      </c>
      <c r="B322" t="s">
        <v>720</v>
      </c>
      <c r="C322" s="1">
        <v>23998</v>
      </c>
      <c r="D322" t="s">
        <v>15</v>
      </c>
      <c r="E322" t="s">
        <v>673</v>
      </c>
      <c r="F322" t="s">
        <v>191</v>
      </c>
      <c r="G322" t="s">
        <v>721</v>
      </c>
      <c r="H322" s="1">
        <v>45403</v>
      </c>
      <c r="I322" s="1">
        <v>45417</v>
      </c>
      <c r="J322" s="3">
        <v>8686.44</v>
      </c>
      <c r="K322" s="4">
        <f t="shared" si="24"/>
        <v>14</v>
      </c>
      <c r="L322" t="str">
        <f t="shared" si="25"/>
        <v>Apr</v>
      </c>
      <c r="M322">
        <f t="shared" si="26"/>
        <v>2024</v>
      </c>
      <c r="N322">
        <f t="shared" si="27"/>
        <v>58</v>
      </c>
    </row>
    <row r="323" spans="1:14" x14ac:dyDescent="0.3">
      <c r="A323" t="s">
        <v>722</v>
      </c>
      <c r="B323" t="s">
        <v>723</v>
      </c>
      <c r="C323" s="1">
        <v>34876</v>
      </c>
      <c r="D323" t="s">
        <v>21</v>
      </c>
      <c r="E323" t="s">
        <v>657</v>
      </c>
      <c r="F323" t="s">
        <v>658</v>
      </c>
      <c r="G323" t="s">
        <v>699</v>
      </c>
      <c r="H323" s="1">
        <v>45475</v>
      </c>
      <c r="I323" s="1">
        <v>45495</v>
      </c>
      <c r="J323" s="3">
        <v>8588.94</v>
      </c>
      <c r="K323" s="4">
        <f t="shared" si="24"/>
        <v>20</v>
      </c>
      <c r="L323" t="str">
        <f t="shared" si="25"/>
        <v>Jul</v>
      </c>
      <c r="M323">
        <f t="shared" si="26"/>
        <v>2024</v>
      </c>
      <c r="N323">
        <f t="shared" si="27"/>
        <v>29</v>
      </c>
    </row>
    <row r="324" spans="1:14" x14ac:dyDescent="0.3">
      <c r="A324" t="s">
        <v>724</v>
      </c>
      <c r="B324" t="s">
        <v>725</v>
      </c>
      <c r="C324" s="1">
        <v>25262</v>
      </c>
      <c r="D324" t="s">
        <v>21</v>
      </c>
      <c r="E324" t="s">
        <v>481</v>
      </c>
      <c r="F324" t="s">
        <v>17</v>
      </c>
      <c r="G324" t="s">
        <v>495</v>
      </c>
      <c r="H324" s="1">
        <v>45015</v>
      </c>
      <c r="I324" s="1">
        <v>45024</v>
      </c>
      <c r="J324" s="3">
        <v>8549.52</v>
      </c>
      <c r="K324" s="4">
        <f t="shared" si="24"/>
        <v>9</v>
      </c>
      <c r="L324" t="str">
        <f t="shared" si="25"/>
        <v>Mar</v>
      </c>
      <c r="M324">
        <f t="shared" si="26"/>
        <v>2023</v>
      </c>
      <c r="N324">
        <f t="shared" si="27"/>
        <v>54</v>
      </c>
    </row>
    <row r="325" spans="1:14" x14ac:dyDescent="0.3">
      <c r="A325" t="s">
        <v>726</v>
      </c>
      <c r="B325" t="s">
        <v>727</v>
      </c>
      <c r="C325" s="1">
        <v>16336</v>
      </c>
      <c r="D325" t="s">
        <v>15</v>
      </c>
      <c r="E325" t="s">
        <v>2146</v>
      </c>
      <c r="F325" t="s">
        <v>191</v>
      </c>
      <c r="G325" t="s">
        <v>427</v>
      </c>
      <c r="H325" s="1">
        <v>45011</v>
      </c>
      <c r="I325" s="1">
        <v>45027</v>
      </c>
      <c r="J325" s="3">
        <v>8454.4</v>
      </c>
      <c r="K325" s="4">
        <f t="shared" si="24"/>
        <v>16</v>
      </c>
      <c r="L325" t="str">
        <f t="shared" si="25"/>
        <v>Mar</v>
      </c>
      <c r="M325">
        <f t="shared" si="26"/>
        <v>2023</v>
      </c>
      <c r="N325">
        <f t="shared" si="27"/>
        <v>78</v>
      </c>
    </row>
    <row r="326" spans="1:14" x14ac:dyDescent="0.3">
      <c r="A326" t="s">
        <v>728</v>
      </c>
      <c r="B326" t="s">
        <v>729</v>
      </c>
      <c r="C326" s="1">
        <v>43860</v>
      </c>
      <c r="D326" t="s">
        <v>15</v>
      </c>
      <c r="E326" t="s">
        <v>657</v>
      </c>
      <c r="F326" t="s">
        <v>191</v>
      </c>
      <c r="G326" t="s">
        <v>659</v>
      </c>
      <c r="H326" s="1">
        <v>44544</v>
      </c>
      <c r="I326" s="1">
        <v>44553</v>
      </c>
      <c r="J326" s="3">
        <v>8441.2099999999991</v>
      </c>
      <c r="K326" s="4">
        <f t="shared" si="24"/>
        <v>9</v>
      </c>
      <c r="L326" t="str">
        <f t="shared" si="25"/>
        <v>Dec</v>
      </c>
      <c r="M326">
        <f t="shared" si="26"/>
        <v>2021</v>
      </c>
      <c r="N326">
        <f t="shared" si="27"/>
        <v>1</v>
      </c>
    </row>
    <row r="327" spans="1:14" x14ac:dyDescent="0.3">
      <c r="A327" t="s">
        <v>730</v>
      </c>
      <c r="B327" t="s">
        <v>731</v>
      </c>
      <c r="C327" s="1">
        <v>41007</v>
      </c>
      <c r="D327" t="s">
        <v>21</v>
      </c>
      <c r="E327" t="s">
        <v>2141</v>
      </c>
      <c r="F327" t="s">
        <v>286</v>
      </c>
      <c r="G327" t="s">
        <v>299</v>
      </c>
      <c r="H327" s="1">
        <v>44735</v>
      </c>
      <c r="I327" s="1">
        <v>44753</v>
      </c>
      <c r="J327" s="3">
        <v>8387.91</v>
      </c>
      <c r="K327" s="4">
        <f t="shared" si="24"/>
        <v>18</v>
      </c>
      <c r="L327" t="str">
        <f t="shared" si="25"/>
        <v>Jun</v>
      </c>
      <c r="M327">
        <f t="shared" si="26"/>
        <v>2022</v>
      </c>
      <c r="N327">
        <f t="shared" si="27"/>
        <v>10</v>
      </c>
    </row>
    <row r="328" spans="1:14" x14ac:dyDescent="0.3">
      <c r="A328" t="s">
        <v>732</v>
      </c>
      <c r="B328" t="s">
        <v>733</v>
      </c>
      <c r="C328" s="1">
        <v>40562</v>
      </c>
      <c r="D328" t="s">
        <v>15</v>
      </c>
      <c r="E328" t="s">
        <v>2143</v>
      </c>
      <c r="F328" t="s">
        <v>84</v>
      </c>
      <c r="G328" t="s">
        <v>324</v>
      </c>
      <c r="H328" s="1">
        <v>45170</v>
      </c>
      <c r="I328" s="1">
        <v>45175</v>
      </c>
      <c r="J328" s="3">
        <v>8364.84</v>
      </c>
      <c r="K328" s="4">
        <f t="shared" si="24"/>
        <v>5</v>
      </c>
      <c r="L328" t="str">
        <f t="shared" si="25"/>
        <v>Sep</v>
      </c>
      <c r="M328">
        <f t="shared" si="26"/>
        <v>2023</v>
      </c>
      <c r="N328">
        <f t="shared" si="27"/>
        <v>12</v>
      </c>
    </row>
    <row r="329" spans="1:14" x14ac:dyDescent="0.3">
      <c r="A329" t="s">
        <v>734</v>
      </c>
      <c r="B329" t="s">
        <v>735</v>
      </c>
      <c r="C329" s="1">
        <v>21374</v>
      </c>
      <c r="D329" t="s">
        <v>15</v>
      </c>
      <c r="E329" t="s">
        <v>190</v>
      </c>
      <c r="F329" t="s">
        <v>195</v>
      </c>
      <c r="G329" t="s">
        <v>200</v>
      </c>
      <c r="H329" s="1">
        <v>45011</v>
      </c>
      <c r="I329" s="1">
        <v>45036</v>
      </c>
      <c r="J329" s="3">
        <v>8344.02</v>
      </c>
      <c r="K329" s="4">
        <f t="shared" si="24"/>
        <v>25</v>
      </c>
      <c r="L329" t="str">
        <f t="shared" si="25"/>
        <v>Mar</v>
      </c>
      <c r="M329">
        <f t="shared" si="26"/>
        <v>2023</v>
      </c>
      <c r="N329">
        <f t="shared" si="27"/>
        <v>64</v>
      </c>
    </row>
    <row r="330" spans="1:14" x14ac:dyDescent="0.3">
      <c r="A330" t="s">
        <v>736</v>
      </c>
      <c r="B330" t="s">
        <v>737</v>
      </c>
      <c r="C330" s="1">
        <v>37520</v>
      </c>
      <c r="D330" t="s">
        <v>15</v>
      </c>
      <c r="E330" t="s">
        <v>2143</v>
      </c>
      <c r="F330" t="s">
        <v>191</v>
      </c>
      <c r="G330" t="s">
        <v>324</v>
      </c>
      <c r="H330" s="1">
        <v>44654</v>
      </c>
      <c r="I330" s="1">
        <v>44684</v>
      </c>
      <c r="J330" s="3">
        <v>8333.65</v>
      </c>
      <c r="K330" s="4">
        <f t="shared" si="24"/>
        <v>30</v>
      </c>
      <c r="L330" t="str">
        <f t="shared" si="25"/>
        <v>Apr</v>
      </c>
      <c r="M330">
        <f t="shared" si="26"/>
        <v>2022</v>
      </c>
      <c r="N330">
        <f t="shared" si="27"/>
        <v>19</v>
      </c>
    </row>
    <row r="331" spans="1:14" x14ac:dyDescent="0.3">
      <c r="A331" t="s">
        <v>738</v>
      </c>
      <c r="B331" t="s">
        <v>739</v>
      </c>
      <c r="C331" s="1">
        <v>15306</v>
      </c>
      <c r="D331" t="s">
        <v>21</v>
      </c>
      <c r="E331" t="s">
        <v>2141</v>
      </c>
      <c r="F331" t="s">
        <v>84</v>
      </c>
      <c r="G331" t="s">
        <v>357</v>
      </c>
      <c r="H331" s="1">
        <v>45404</v>
      </c>
      <c r="I331" s="1">
        <v>45410</v>
      </c>
      <c r="J331" s="3">
        <v>8311.6200000000008</v>
      </c>
      <c r="K331" s="4">
        <f t="shared" si="24"/>
        <v>6</v>
      </c>
      <c r="L331" t="str">
        <f t="shared" si="25"/>
        <v>Apr</v>
      </c>
      <c r="M331">
        <f t="shared" si="26"/>
        <v>2024</v>
      </c>
      <c r="N331">
        <f t="shared" si="27"/>
        <v>82</v>
      </c>
    </row>
    <row r="332" spans="1:14" x14ac:dyDescent="0.3">
      <c r="A332" t="s">
        <v>740</v>
      </c>
      <c r="B332" t="s">
        <v>741</v>
      </c>
      <c r="C332" s="1">
        <v>20884</v>
      </c>
      <c r="D332" t="s">
        <v>21</v>
      </c>
      <c r="E332" t="s">
        <v>294</v>
      </c>
      <c r="F332" t="s">
        <v>295</v>
      </c>
      <c r="G332" t="s">
        <v>311</v>
      </c>
      <c r="H332" s="1">
        <v>44936</v>
      </c>
      <c r="I332" s="1">
        <v>44947</v>
      </c>
      <c r="J332" s="3">
        <v>8194.67</v>
      </c>
      <c r="K332" s="4">
        <f t="shared" si="24"/>
        <v>11</v>
      </c>
      <c r="L332" t="str">
        <f t="shared" si="25"/>
        <v>Jan</v>
      </c>
      <c r="M332">
        <f t="shared" si="26"/>
        <v>2023</v>
      </c>
      <c r="N332">
        <f t="shared" si="27"/>
        <v>65</v>
      </c>
    </row>
    <row r="333" spans="1:14" x14ac:dyDescent="0.3">
      <c r="A333" t="s">
        <v>742</v>
      </c>
      <c r="B333" t="s">
        <v>743</v>
      </c>
      <c r="C333" s="1">
        <v>17492</v>
      </c>
      <c r="D333" t="s">
        <v>15</v>
      </c>
      <c r="E333" t="s">
        <v>657</v>
      </c>
      <c r="F333" t="s">
        <v>658</v>
      </c>
      <c r="G333" t="s">
        <v>659</v>
      </c>
      <c r="H333" s="1">
        <v>45398</v>
      </c>
      <c r="I333" s="1">
        <v>45411</v>
      </c>
      <c r="J333" s="3">
        <v>8168.12</v>
      </c>
      <c r="K333" s="4">
        <f t="shared" si="24"/>
        <v>13</v>
      </c>
      <c r="L333" t="str">
        <f t="shared" si="25"/>
        <v>Apr</v>
      </c>
      <c r="M333">
        <f t="shared" si="26"/>
        <v>2024</v>
      </c>
      <c r="N333">
        <f t="shared" si="27"/>
        <v>76</v>
      </c>
    </row>
    <row r="334" spans="1:14" x14ac:dyDescent="0.3">
      <c r="A334" t="s">
        <v>744</v>
      </c>
      <c r="B334" t="s">
        <v>745</v>
      </c>
      <c r="C334" s="1">
        <v>20473</v>
      </c>
      <c r="D334" t="s">
        <v>21</v>
      </c>
      <c r="E334" t="s">
        <v>682</v>
      </c>
      <c r="F334" t="s">
        <v>746</v>
      </c>
      <c r="G334" t="s">
        <v>684</v>
      </c>
      <c r="H334" s="1">
        <v>44673</v>
      </c>
      <c r="I334" s="1">
        <v>44687</v>
      </c>
      <c r="J334" s="3">
        <v>8137.96</v>
      </c>
      <c r="K334" s="4">
        <f t="shared" si="24"/>
        <v>14</v>
      </c>
      <c r="L334" t="str">
        <f t="shared" si="25"/>
        <v>Apr</v>
      </c>
      <c r="M334">
        <f t="shared" si="26"/>
        <v>2022</v>
      </c>
      <c r="N334">
        <f t="shared" si="27"/>
        <v>66</v>
      </c>
    </row>
    <row r="335" spans="1:14" x14ac:dyDescent="0.3">
      <c r="A335" t="s">
        <v>747</v>
      </c>
      <c r="B335" t="s">
        <v>748</v>
      </c>
      <c r="C335" s="1">
        <v>28547</v>
      </c>
      <c r="D335" t="s">
        <v>15</v>
      </c>
      <c r="E335" t="s">
        <v>673</v>
      </c>
      <c r="F335" t="s">
        <v>84</v>
      </c>
      <c r="G335" t="s">
        <v>677</v>
      </c>
      <c r="H335" s="1">
        <v>44739</v>
      </c>
      <c r="I335" s="1">
        <v>44760</v>
      </c>
      <c r="J335" s="3">
        <v>8119.79</v>
      </c>
      <c r="K335" s="4">
        <f t="shared" si="24"/>
        <v>21</v>
      </c>
      <c r="L335" t="str">
        <f t="shared" si="25"/>
        <v>Jun</v>
      </c>
      <c r="M335">
        <f t="shared" si="26"/>
        <v>2022</v>
      </c>
      <c r="N335">
        <f t="shared" si="27"/>
        <v>44</v>
      </c>
    </row>
    <row r="336" spans="1:14" x14ac:dyDescent="0.3">
      <c r="A336" t="s">
        <v>749</v>
      </c>
      <c r="B336" t="s">
        <v>750</v>
      </c>
      <c r="C336" s="1">
        <v>12332</v>
      </c>
      <c r="D336" t="s">
        <v>15</v>
      </c>
      <c r="E336" t="s">
        <v>657</v>
      </c>
      <c r="F336" t="s">
        <v>17</v>
      </c>
      <c r="G336" t="s">
        <v>699</v>
      </c>
      <c r="H336" s="1">
        <v>45354</v>
      </c>
      <c r="I336" s="1">
        <v>45374</v>
      </c>
      <c r="J336" s="3">
        <v>8082.6</v>
      </c>
      <c r="K336" s="4">
        <f t="shared" si="24"/>
        <v>20</v>
      </c>
      <c r="L336" t="str">
        <f t="shared" si="25"/>
        <v>Mar</v>
      </c>
      <c r="M336">
        <f t="shared" si="26"/>
        <v>2024</v>
      </c>
      <c r="N336">
        <f t="shared" si="27"/>
        <v>90</v>
      </c>
    </row>
    <row r="337" spans="1:14" x14ac:dyDescent="0.3">
      <c r="A337" t="s">
        <v>751</v>
      </c>
      <c r="B337" t="s">
        <v>752</v>
      </c>
      <c r="C337" s="1">
        <v>43280</v>
      </c>
      <c r="D337" t="s">
        <v>21</v>
      </c>
      <c r="E337" t="s">
        <v>2141</v>
      </c>
      <c r="F337" t="s">
        <v>84</v>
      </c>
      <c r="G337" t="s">
        <v>299</v>
      </c>
      <c r="H337" s="1">
        <v>44468</v>
      </c>
      <c r="I337" s="1">
        <v>44476</v>
      </c>
      <c r="J337" s="3">
        <v>8059.6</v>
      </c>
      <c r="K337" s="4">
        <f t="shared" si="24"/>
        <v>8</v>
      </c>
      <c r="L337" t="str">
        <f t="shared" si="25"/>
        <v>Sep</v>
      </c>
      <c r="M337">
        <f t="shared" si="26"/>
        <v>2021</v>
      </c>
      <c r="N337">
        <f t="shared" si="27"/>
        <v>3</v>
      </c>
    </row>
    <row r="338" spans="1:14" x14ac:dyDescent="0.3">
      <c r="A338" t="s">
        <v>753</v>
      </c>
      <c r="B338" t="s">
        <v>754</v>
      </c>
      <c r="C338" s="1">
        <v>10519</v>
      </c>
      <c r="D338" t="s">
        <v>21</v>
      </c>
      <c r="E338" t="s">
        <v>2142</v>
      </c>
      <c r="F338" t="s">
        <v>95</v>
      </c>
      <c r="G338" t="s">
        <v>289</v>
      </c>
      <c r="H338" s="1">
        <v>45443</v>
      </c>
      <c r="I338" s="1">
        <v>45473</v>
      </c>
      <c r="J338" s="3">
        <v>7997.64</v>
      </c>
      <c r="K338" s="4">
        <f t="shared" si="24"/>
        <v>30</v>
      </c>
      <c r="L338" t="str">
        <f t="shared" si="25"/>
        <v>May</v>
      </c>
      <c r="M338">
        <f t="shared" si="26"/>
        <v>2024</v>
      </c>
      <c r="N338">
        <f t="shared" si="27"/>
        <v>95</v>
      </c>
    </row>
    <row r="339" spans="1:14" x14ac:dyDescent="0.3">
      <c r="A339" t="s">
        <v>755</v>
      </c>
      <c r="B339" t="s">
        <v>756</v>
      </c>
      <c r="C339" s="1">
        <v>26699</v>
      </c>
      <c r="D339" t="s">
        <v>15</v>
      </c>
      <c r="E339" t="s">
        <v>2141</v>
      </c>
      <c r="F339" t="s">
        <v>84</v>
      </c>
      <c r="G339" t="s">
        <v>357</v>
      </c>
      <c r="H339" s="1">
        <v>44699</v>
      </c>
      <c r="I339" s="1">
        <v>44713</v>
      </c>
      <c r="J339" s="3">
        <v>7984.33</v>
      </c>
      <c r="K339" s="4">
        <f t="shared" si="24"/>
        <v>14</v>
      </c>
      <c r="L339" t="str">
        <f t="shared" si="25"/>
        <v>May</v>
      </c>
      <c r="M339">
        <f t="shared" si="26"/>
        <v>2022</v>
      </c>
      <c r="N339">
        <f t="shared" si="27"/>
        <v>49</v>
      </c>
    </row>
    <row r="340" spans="1:14" x14ac:dyDescent="0.3">
      <c r="A340" t="s">
        <v>757</v>
      </c>
      <c r="B340" t="s">
        <v>758</v>
      </c>
      <c r="C340" s="1">
        <v>30869</v>
      </c>
      <c r="D340" t="s">
        <v>15</v>
      </c>
      <c r="E340" t="s">
        <v>481</v>
      </c>
      <c r="F340" t="s">
        <v>84</v>
      </c>
      <c r="G340" t="s">
        <v>482</v>
      </c>
      <c r="H340" s="1">
        <v>44858</v>
      </c>
      <c r="I340" s="1">
        <v>44888</v>
      </c>
      <c r="J340" s="3">
        <v>7955.88</v>
      </c>
      <c r="K340" s="4">
        <f t="shared" si="24"/>
        <v>30</v>
      </c>
      <c r="L340" t="str">
        <f t="shared" si="25"/>
        <v>Oct</v>
      </c>
      <c r="M340">
        <f t="shared" si="26"/>
        <v>2022</v>
      </c>
      <c r="N340">
        <f t="shared" si="27"/>
        <v>38</v>
      </c>
    </row>
    <row r="341" spans="1:14" x14ac:dyDescent="0.3">
      <c r="A341" t="s">
        <v>759</v>
      </c>
      <c r="B341" t="s">
        <v>760</v>
      </c>
      <c r="C341" s="1">
        <v>15316</v>
      </c>
      <c r="D341" t="s">
        <v>15</v>
      </c>
      <c r="E341" t="s">
        <v>2142</v>
      </c>
      <c r="F341" t="s">
        <v>95</v>
      </c>
      <c r="G341" t="s">
        <v>302</v>
      </c>
      <c r="H341" s="1">
        <v>45357</v>
      </c>
      <c r="I341" s="1">
        <v>45380</v>
      </c>
      <c r="J341" s="3">
        <v>7935.32</v>
      </c>
      <c r="K341" s="4">
        <f t="shared" si="24"/>
        <v>23</v>
      </c>
      <c r="L341" t="str">
        <f t="shared" si="25"/>
        <v>Mar</v>
      </c>
      <c r="M341">
        <f t="shared" si="26"/>
        <v>2024</v>
      </c>
      <c r="N341">
        <f t="shared" si="27"/>
        <v>82</v>
      </c>
    </row>
    <row r="342" spans="1:14" x14ac:dyDescent="0.3">
      <c r="A342" t="s">
        <v>761</v>
      </c>
      <c r="B342" t="s">
        <v>762</v>
      </c>
      <c r="C342" s="1">
        <v>22146</v>
      </c>
      <c r="D342" t="s">
        <v>15</v>
      </c>
      <c r="E342" t="s">
        <v>481</v>
      </c>
      <c r="F342" t="s">
        <v>84</v>
      </c>
      <c r="G342" t="s">
        <v>482</v>
      </c>
      <c r="H342" s="1">
        <v>45309</v>
      </c>
      <c r="I342" s="1">
        <v>45326</v>
      </c>
      <c r="J342" s="3">
        <v>7915.1</v>
      </c>
      <c r="K342" s="4">
        <f t="shared" si="24"/>
        <v>17</v>
      </c>
      <c r="L342" t="str">
        <f t="shared" si="25"/>
        <v>Jan</v>
      </c>
      <c r="M342">
        <f t="shared" si="26"/>
        <v>2024</v>
      </c>
      <c r="N342">
        <f t="shared" si="27"/>
        <v>63</v>
      </c>
    </row>
    <row r="343" spans="1:14" x14ac:dyDescent="0.3">
      <c r="A343" t="s">
        <v>763</v>
      </c>
      <c r="B343" t="s">
        <v>764</v>
      </c>
      <c r="C343" s="1">
        <v>10016</v>
      </c>
      <c r="D343" t="s">
        <v>21</v>
      </c>
      <c r="E343" t="s">
        <v>673</v>
      </c>
      <c r="F343" t="s">
        <v>84</v>
      </c>
      <c r="G343" t="s">
        <v>674</v>
      </c>
      <c r="H343" s="1">
        <v>44977</v>
      </c>
      <c r="I343" s="1">
        <v>44993</v>
      </c>
      <c r="J343" s="3">
        <v>7908.29</v>
      </c>
      <c r="K343" s="4">
        <f t="shared" si="24"/>
        <v>16</v>
      </c>
      <c r="L343" t="str">
        <f t="shared" si="25"/>
        <v>Feb</v>
      </c>
      <c r="M343">
        <f t="shared" si="26"/>
        <v>2023</v>
      </c>
      <c r="N343">
        <f t="shared" si="27"/>
        <v>95</v>
      </c>
    </row>
    <row r="344" spans="1:14" x14ac:dyDescent="0.3">
      <c r="A344" t="s">
        <v>765</v>
      </c>
      <c r="B344" t="s">
        <v>766</v>
      </c>
      <c r="C344" s="1">
        <v>33176</v>
      </c>
      <c r="D344" t="s">
        <v>21</v>
      </c>
      <c r="E344" t="s">
        <v>657</v>
      </c>
      <c r="F344" t="s">
        <v>191</v>
      </c>
      <c r="G344" t="s">
        <v>659</v>
      </c>
      <c r="H344" s="1">
        <v>44967</v>
      </c>
      <c r="I344" s="1">
        <v>44997</v>
      </c>
      <c r="J344" s="3">
        <v>7887.11</v>
      </c>
      <c r="K344" s="4">
        <f t="shared" si="24"/>
        <v>30</v>
      </c>
      <c r="L344" t="str">
        <f t="shared" si="25"/>
        <v>Feb</v>
      </c>
      <c r="M344">
        <f t="shared" si="26"/>
        <v>2023</v>
      </c>
      <c r="N344">
        <f t="shared" si="27"/>
        <v>32</v>
      </c>
    </row>
    <row r="345" spans="1:14" x14ac:dyDescent="0.3">
      <c r="A345" s="2" t="s">
        <v>767</v>
      </c>
      <c r="B345" t="s">
        <v>768</v>
      </c>
      <c r="C345" s="1">
        <v>29186</v>
      </c>
      <c r="D345" t="s">
        <v>21</v>
      </c>
      <c r="E345" t="s">
        <v>673</v>
      </c>
      <c r="F345" t="s">
        <v>84</v>
      </c>
      <c r="G345" t="s">
        <v>674</v>
      </c>
      <c r="H345" s="1">
        <v>45092</v>
      </c>
      <c r="I345" s="1">
        <v>45107</v>
      </c>
      <c r="J345" s="3">
        <v>7795.71</v>
      </c>
      <c r="K345" s="4">
        <f xml:space="preserve"> I345-H345</f>
        <v>15</v>
      </c>
      <c r="L345" t="str">
        <f t="shared" si="25"/>
        <v>Jun</v>
      </c>
      <c r="M345">
        <f t="shared" si="26"/>
        <v>2023</v>
      </c>
      <c r="N345">
        <f t="shared" si="27"/>
        <v>43</v>
      </c>
    </row>
    <row r="346" spans="1:14" x14ac:dyDescent="0.3">
      <c r="A346" t="s">
        <v>769</v>
      </c>
      <c r="B346" t="s">
        <v>770</v>
      </c>
      <c r="C346" s="1">
        <v>26273</v>
      </c>
      <c r="D346" t="s">
        <v>15</v>
      </c>
      <c r="E346" t="s">
        <v>682</v>
      </c>
      <c r="F346" t="s">
        <v>746</v>
      </c>
      <c r="G346" t="s">
        <v>684</v>
      </c>
      <c r="H346" s="1">
        <v>45206</v>
      </c>
      <c r="I346" s="1">
        <v>45232</v>
      </c>
      <c r="J346" s="3">
        <v>7755.66</v>
      </c>
      <c r="K346" s="4">
        <f t="shared" ref="K346:K407" si="28" xml:space="preserve"> I346-H346</f>
        <v>26</v>
      </c>
      <c r="L346" t="str">
        <f t="shared" si="25"/>
        <v>Oct</v>
      </c>
      <c r="M346">
        <f t="shared" si="26"/>
        <v>2023</v>
      </c>
      <c r="N346">
        <f t="shared" si="27"/>
        <v>51</v>
      </c>
    </row>
    <row r="347" spans="1:14" x14ac:dyDescent="0.3">
      <c r="A347" t="s">
        <v>771</v>
      </c>
      <c r="B347" t="s">
        <v>772</v>
      </c>
      <c r="C347" s="1">
        <v>38531</v>
      </c>
      <c r="D347" t="s">
        <v>21</v>
      </c>
      <c r="E347" t="s">
        <v>2142</v>
      </c>
      <c r="F347" t="s">
        <v>95</v>
      </c>
      <c r="G347" t="s">
        <v>289</v>
      </c>
      <c r="H347" s="1">
        <v>44440</v>
      </c>
      <c r="I347" s="1">
        <v>44470</v>
      </c>
      <c r="J347" s="3">
        <v>7748.74</v>
      </c>
      <c r="K347" s="4">
        <f t="shared" si="28"/>
        <v>30</v>
      </c>
      <c r="L347" t="str">
        <f t="shared" si="25"/>
        <v>Sep</v>
      </c>
      <c r="M347">
        <f t="shared" si="26"/>
        <v>2021</v>
      </c>
      <c r="N347">
        <f t="shared" si="27"/>
        <v>16</v>
      </c>
    </row>
    <row r="348" spans="1:14" x14ac:dyDescent="0.3">
      <c r="A348" t="s">
        <v>773</v>
      </c>
      <c r="B348" t="s">
        <v>774</v>
      </c>
      <c r="C348" s="1">
        <v>11416</v>
      </c>
      <c r="D348" t="s">
        <v>15</v>
      </c>
      <c r="E348" t="s">
        <v>294</v>
      </c>
      <c r="F348" t="s">
        <v>385</v>
      </c>
      <c r="G348" t="s">
        <v>311</v>
      </c>
      <c r="H348" s="1">
        <v>45247</v>
      </c>
      <c r="I348" s="1">
        <v>45263</v>
      </c>
      <c r="J348" s="3">
        <v>7708.36</v>
      </c>
      <c r="K348" s="4">
        <f t="shared" si="28"/>
        <v>16</v>
      </c>
      <c r="L348" t="str">
        <f t="shared" si="25"/>
        <v>Nov</v>
      </c>
      <c r="M348">
        <f t="shared" si="26"/>
        <v>2023</v>
      </c>
      <c r="N348">
        <f t="shared" si="27"/>
        <v>92</v>
      </c>
    </row>
    <row r="349" spans="1:14" x14ac:dyDescent="0.3">
      <c r="A349" t="s">
        <v>775</v>
      </c>
      <c r="B349" t="s">
        <v>776</v>
      </c>
      <c r="C349" s="1">
        <v>21358</v>
      </c>
      <c r="D349" t="s">
        <v>21</v>
      </c>
      <c r="E349" t="s">
        <v>2146</v>
      </c>
      <c r="F349" t="s">
        <v>84</v>
      </c>
      <c r="G349" t="s">
        <v>427</v>
      </c>
      <c r="H349" s="1">
        <v>44572</v>
      </c>
      <c r="I349" s="1">
        <v>44578</v>
      </c>
      <c r="J349" s="3">
        <v>7656.3</v>
      </c>
      <c r="K349" s="4">
        <f t="shared" si="28"/>
        <v>6</v>
      </c>
      <c r="L349" t="str">
        <f t="shared" si="25"/>
        <v>Jan</v>
      </c>
      <c r="M349">
        <f t="shared" si="26"/>
        <v>2022</v>
      </c>
      <c r="N349">
        <f t="shared" si="27"/>
        <v>63</v>
      </c>
    </row>
    <row r="350" spans="1:14" x14ac:dyDescent="0.3">
      <c r="A350" t="s">
        <v>777</v>
      </c>
      <c r="B350" t="s">
        <v>778</v>
      </c>
      <c r="C350" s="1">
        <v>36803</v>
      </c>
      <c r="D350" t="s">
        <v>15</v>
      </c>
      <c r="E350" t="s">
        <v>682</v>
      </c>
      <c r="F350" t="s">
        <v>683</v>
      </c>
      <c r="G350" t="s">
        <v>684</v>
      </c>
      <c r="H350" s="1">
        <v>44832</v>
      </c>
      <c r="I350" s="1">
        <v>44857</v>
      </c>
      <c r="J350" s="3">
        <v>7640.06</v>
      </c>
      <c r="K350" s="4">
        <f t="shared" si="28"/>
        <v>25</v>
      </c>
      <c r="L350" t="str">
        <f t="shared" si="25"/>
        <v>Sep</v>
      </c>
      <c r="M350">
        <f t="shared" si="26"/>
        <v>2022</v>
      </c>
      <c r="N350">
        <f t="shared" si="27"/>
        <v>21</v>
      </c>
    </row>
    <row r="351" spans="1:14" x14ac:dyDescent="0.3">
      <c r="A351" t="s">
        <v>779</v>
      </c>
      <c r="B351" t="s">
        <v>780</v>
      </c>
      <c r="C351" s="1">
        <v>38697</v>
      </c>
      <c r="D351" t="s">
        <v>21</v>
      </c>
      <c r="E351" t="s">
        <v>481</v>
      </c>
      <c r="F351" t="s">
        <v>17</v>
      </c>
      <c r="G351" t="s">
        <v>482</v>
      </c>
      <c r="H351" s="1">
        <v>45412</v>
      </c>
      <c r="I351" s="1">
        <v>45426</v>
      </c>
      <c r="J351" s="3">
        <v>7630.11</v>
      </c>
      <c r="K351" s="4">
        <f t="shared" si="28"/>
        <v>14</v>
      </c>
      <c r="L351" t="str">
        <f t="shared" si="25"/>
        <v>Apr</v>
      </c>
      <c r="M351">
        <f t="shared" si="26"/>
        <v>2024</v>
      </c>
      <c r="N351">
        <f t="shared" si="27"/>
        <v>18</v>
      </c>
    </row>
    <row r="352" spans="1:14" x14ac:dyDescent="0.3">
      <c r="A352" t="s">
        <v>781</v>
      </c>
      <c r="B352" t="s">
        <v>782</v>
      </c>
      <c r="C352" s="1">
        <v>10400</v>
      </c>
      <c r="D352" t="s">
        <v>21</v>
      </c>
      <c r="E352" t="s">
        <v>2146</v>
      </c>
      <c r="F352" t="s">
        <v>84</v>
      </c>
      <c r="G352" t="s">
        <v>427</v>
      </c>
      <c r="H352" s="1">
        <v>44869</v>
      </c>
      <c r="I352" s="1">
        <v>44888</v>
      </c>
      <c r="J352" s="3">
        <v>7615.89</v>
      </c>
      <c r="K352" s="4">
        <f t="shared" si="28"/>
        <v>19</v>
      </c>
      <c r="L352" t="str">
        <f t="shared" si="25"/>
        <v>Nov</v>
      </c>
      <c r="M352">
        <f t="shared" si="26"/>
        <v>2022</v>
      </c>
      <c r="N352">
        <f t="shared" si="27"/>
        <v>94</v>
      </c>
    </row>
    <row r="353" spans="1:14" x14ac:dyDescent="0.3">
      <c r="A353" t="s">
        <v>783</v>
      </c>
      <c r="B353" t="s">
        <v>784</v>
      </c>
      <c r="C353" s="1">
        <v>39318</v>
      </c>
      <c r="D353" t="s">
        <v>15</v>
      </c>
      <c r="E353" t="s">
        <v>2141</v>
      </c>
      <c r="F353" t="s">
        <v>286</v>
      </c>
      <c r="G353" t="s">
        <v>281</v>
      </c>
      <c r="H353" s="1">
        <v>44714</v>
      </c>
      <c r="I353" s="1">
        <v>44739</v>
      </c>
      <c r="J353" s="3">
        <v>7599.84</v>
      </c>
      <c r="K353" s="4">
        <f t="shared" si="28"/>
        <v>25</v>
      </c>
      <c r="L353" t="str">
        <f t="shared" si="25"/>
        <v>Jun</v>
      </c>
      <c r="M353">
        <f t="shared" si="26"/>
        <v>2022</v>
      </c>
      <c r="N353">
        <f t="shared" si="27"/>
        <v>14</v>
      </c>
    </row>
    <row r="354" spans="1:14" x14ac:dyDescent="0.3">
      <c r="A354" t="s">
        <v>785</v>
      </c>
      <c r="B354" t="s">
        <v>786</v>
      </c>
      <c r="C354" s="1">
        <v>32240</v>
      </c>
      <c r="D354" t="s">
        <v>21</v>
      </c>
      <c r="E354" t="s">
        <v>682</v>
      </c>
      <c r="F354" t="s">
        <v>746</v>
      </c>
      <c r="G354" t="s">
        <v>684</v>
      </c>
      <c r="H354" s="1">
        <v>45025</v>
      </c>
      <c r="I354" s="1">
        <v>45029</v>
      </c>
      <c r="J354" s="3">
        <v>7552.48</v>
      </c>
      <c r="K354" s="4">
        <f t="shared" si="28"/>
        <v>4</v>
      </c>
      <c r="L354" t="str">
        <f t="shared" si="25"/>
        <v>Apr</v>
      </c>
      <c r="M354">
        <f t="shared" si="26"/>
        <v>2023</v>
      </c>
      <c r="N354">
        <f t="shared" si="27"/>
        <v>35</v>
      </c>
    </row>
    <row r="355" spans="1:14" x14ac:dyDescent="0.3">
      <c r="A355" t="s">
        <v>787</v>
      </c>
      <c r="B355" t="s">
        <v>788</v>
      </c>
      <c r="C355" s="1">
        <v>41477</v>
      </c>
      <c r="D355" t="s">
        <v>15</v>
      </c>
      <c r="E355" t="s">
        <v>2143</v>
      </c>
      <c r="F355" t="s">
        <v>191</v>
      </c>
      <c r="G355" t="s">
        <v>476</v>
      </c>
      <c r="H355" s="1">
        <v>45261</v>
      </c>
      <c r="I355" s="1">
        <v>45265</v>
      </c>
      <c r="J355" s="3">
        <v>7549.56</v>
      </c>
      <c r="K355" s="4">
        <f t="shared" si="28"/>
        <v>4</v>
      </c>
      <c r="L355" t="str">
        <f t="shared" si="25"/>
        <v>Dec</v>
      </c>
      <c r="M355">
        <f t="shared" si="26"/>
        <v>2023</v>
      </c>
      <c r="N355">
        <f t="shared" si="27"/>
        <v>10</v>
      </c>
    </row>
    <row r="356" spans="1:14" x14ac:dyDescent="0.3">
      <c r="A356" s="2" t="s">
        <v>789</v>
      </c>
      <c r="B356" t="s">
        <v>790</v>
      </c>
      <c r="C356" s="1">
        <v>37609</v>
      </c>
      <c r="D356" t="s">
        <v>21</v>
      </c>
      <c r="E356" t="s">
        <v>657</v>
      </c>
      <c r="F356" t="s">
        <v>658</v>
      </c>
      <c r="G356" t="s">
        <v>659</v>
      </c>
      <c r="H356" s="1">
        <v>44621</v>
      </c>
      <c r="I356" s="1">
        <v>44643</v>
      </c>
      <c r="J356" s="3">
        <v>7541.72</v>
      </c>
      <c r="K356" s="4">
        <f t="shared" si="28"/>
        <v>22</v>
      </c>
      <c r="L356" t="str">
        <f t="shared" si="25"/>
        <v>Mar</v>
      </c>
      <c r="M356">
        <f t="shared" si="26"/>
        <v>2022</v>
      </c>
      <c r="N356">
        <f t="shared" si="27"/>
        <v>19</v>
      </c>
    </row>
    <row r="357" spans="1:14" x14ac:dyDescent="0.3">
      <c r="A357" t="s">
        <v>791</v>
      </c>
      <c r="B357" t="s">
        <v>792</v>
      </c>
      <c r="C357" s="1">
        <v>19647</v>
      </c>
      <c r="D357" t="s">
        <v>21</v>
      </c>
      <c r="E357" t="s">
        <v>682</v>
      </c>
      <c r="F357" t="s">
        <v>746</v>
      </c>
      <c r="G357" t="s">
        <v>793</v>
      </c>
      <c r="H357" s="1">
        <v>45205</v>
      </c>
      <c r="I357" s="1">
        <v>45234</v>
      </c>
      <c r="J357" s="3">
        <v>7528.74</v>
      </c>
      <c r="K357" s="4">
        <f t="shared" si="28"/>
        <v>29</v>
      </c>
      <c r="L357" t="str">
        <f t="shared" si="25"/>
        <v>Oct</v>
      </c>
      <c r="M357">
        <f t="shared" si="26"/>
        <v>2023</v>
      </c>
      <c r="N357">
        <f t="shared" si="27"/>
        <v>69</v>
      </c>
    </row>
    <row r="358" spans="1:14" x14ac:dyDescent="0.3">
      <c r="A358" t="s">
        <v>794</v>
      </c>
      <c r="B358" t="s">
        <v>795</v>
      </c>
      <c r="C358" s="1">
        <v>35720</v>
      </c>
      <c r="D358" t="s">
        <v>15</v>
      </c>
      <c r="E358" t="s">
        <v>294</v>
      </c>
      <c r="F358" t="s">
        <v>295</v>
      </c>
      <c r="G358" t="s">
        <v>410</v>
      </c>
      <c r="H358" s="1">
        <v>44672</v>
      </c>
      <c r="I358" s="1">
        <v>44683</v>
      </c>
      <c r="J358" s="3">
        <v>7525.45</v>
      </c>
      <c r="K358" s="4">
        <f t="shared" si="28"/>
        <v>11</v>
      </c>
      <c r="L358" t="str">
        <f t="shared" si="25"/>
        <v>Apr</v>
      </c>
      <c r="M358">
        <f t="shared" si="26"/>
        <v>2022</v>
      </c>
      <c r="N358">
        <f t="shared" si="27"/>
        <v>24</v>
      </c>
    </row>
    <row r="359" spans="1:14" x14ac:dyDescent="0.3">
      <c r="A359" t="s">
        <v>796</v>
      </c>
      <c r="B359" t="s">
        <v>797</v>
      </c>
      <c r="C359" s="1">
        <v>27060</v>
      </c>
      <c r="D359" t="s">
        <v>15</v>
      </c>
      <c r="E359" t="s">
        <v>673</v>
      </c>
      <c r="F359" t="s">
        <v>84</v>
      </c>
      <c r="G359" t="s">
        <v>721</v>
      </c>
      <c r="H359" s="1">
        <v>44686</v>
      </c>
      <c r="I359" s="1">
        <v>44701</v>
      </c>
      <c r="J359" s="3">
        <v>7411.97</v>
      </c>
      <c r="K359" s="4">
        <f t="shared" si="28"/>
        <v>15</v>
      </c>
      <c r="L359" t="str">
        <f t="shared" si="25"/>
        <v>May</v>
      </c>
      <c r="M359">
        <f t="shared" si="26"/>
        <v>2022</v>
      </c>
      <c r="N359">
        <f t="shared" si="27"/>
        <v>48</v>
      </c>
    </row>
    <row r="360" spans="1:14" x14ac:dyDescent="0.3">
      <c r="A360" t="s">
        <v>798</v>
      </c>
      <c r="B360" t="s">
        <v>799</v>
      </c>
      <c r="C360" s="1">
        <v>36081</v>
      </c>
      <c r="D360" t="s">
        <v>15</v>
      </c>
      <c r="E360" t="s">
        <v>2143</v>
      </c>
      <c r="F360" t="s">
        <v>191</v>
      </c>
      <c r="G360" t="s">
        <v>476</v>
      </c>
      <c r="H360" s="1">
        <v>44409</v>
      </c>
      <c r="I360" s="1">
        <v>44413</v>
      </c>
      <c r="J360" s="3">
        <v>7391.17</v>
      </c>
      <c r="K360" s="4">
        <f t="shared" si="28"/>
        <v>4</v>
      </c>
      <c r="L360" t="str">
        <f t="shared" si="25"/>
        <v>Aug</v>
      </c>
      <c r="M360">
        <f t="shared" si="26"/>
        <v>2021</v>
      </c>
      <c r="N360">
        <f t="shared" si="27"/>
        <v>22</v>
      </c>
    </row>
    <row r="361" spans="1:14" x14ac:dyDescent="0.3">
      <c r="A361" t="s">
        <v>800</v>
      </c>
      <c r="B361" t="s">
        <v>801</v>
      </c>
      <c r="C361" s="1">
        <v>20288</v>
      </c>
      <c r="D361" t="s">
        <v>15</v>
      </c>
      <c r="E361" t="s">
        <v>481</v>
      </c>
      <c r="F361" t="s">
        <v>17</v>
      </c>
      <c r="G361" t="s">
        <v>506</v>
      </c>
      <c r="H361" s="1">
        <v>44839</v>
      </c>
      <c r="I361" s="1">
        <v>44864</v>
      </c>
      <c r="J361" s="3">
        <v>7367.51</v>
      </c>
      <c r="K361" s="4">
        <f t="shared" si="28"/>
        <v>25</v>
      </c>
      <c r="L361" t="str">
        <f t="shared" si="25"/>
        <v>Oct</v>
      </c>
      <c r="M361">
        <f t="shared" si="26"/>
        <v>2022</v>
      </c>
      <c r="N361">
        <f t="shared" si="27"/>
        <v>67</v>
      </c>
    </row>
    <row r="362" spans="1:14" x14ac:dyDescent="0.3">
      <c r="A362" t="s">
        <v>802</v>
      </c>
      <c r="B362" t="s">
        <v>803</v>
      </c>
      <c r="C362" s="1">
        <v>35982</v>
      </c>
      <c r="D362" t="s">
        <v>15</v>
      </c>
      <c r="E362" t="s">
        <v>673</v>
      </c>
      <c r="F362" t="s">
        <v>84</v>
      </c>
      <c r="G362" t="s">
        <v>674</v>
      </c>
      <c r="H362" s="1">
        <v>44905</v>
      </c>
      <c r="I362" s="1">
        <v>44907</v>
      </c>
      <c r="J362" s="3">
        <v>7358.8</v>
      </c>
      <c r="K362" s="4">
        <f t="shared" si="28"/>
        <v>2</v>
      </c>
      <c r="L362" t="str">
        <f t="shared" si="25"/>
        <v>Dec</v>
      </c>
      <c r="M362">
        <f t="shared" si="26"/>
        <v>2022</v>
      </c>
      <c r="N362">
        <f t="shared" si="27"/>
        <v>24</v>
      </c>
    </row>
    <row r="363" spans="1:14" x14ac:dyDescent="0.3">
      <c r="A363" t="s">
        <v>804</v>
      </c>
      <c r="B363" t="s">
        <v>805</v>
      </c>
      <c r="C363" s="1">
        <v>15844</v>
      </c>
      <c r="D363" t="s">
        <v>21</v>
      </c>
      <c r="E363" t="s">
        <v>657</v>
      </c>
      <c r="F363" t="s">
        <v>191</v>
      </c>
      <c r="G363" t="s">
        <v>699</v>
      </c>
      <c r="H363" s="1">
        <v>45473</v>
      </c>
      <c r="I363" s="1">
        <v>45494</v>
      </c>
      <c r="J363" s="3">
        <v>7315.9</v>
      </c>
      <c r="K363" s="4">
        <f t="shared" si="28"/>
        <v>21</v>
      </c>
      <c r="L363" t="str">
        <f t="shared" si="25"/>
        <v>Jun</v>
      </c>
      <c r="M363">
        <f t="shared" si="26"/>
        <v>2024</v>
      </c>
      <c r="N363">
        <f t="shared" si="27"/>
        <v>81</v>
      </c>
    </row>
    <row r="364" spans="1:14" x14ac:dyDescent="0.3">
      <c r="A364" t="s">
        <v>806</v>
      </c>
      <c r="B364" t="s">
        <v>807</v>
      </c>
      <c r="C364" s="1">
        <v>12705</v>
      </c>
      <c r="D364" t="s">
        <v>21</v>
      </c>
      <c r="E364" t="s">
        <v>682</v>
      </c>
      <c r="F364" t="s">
        <v>683</v>
      </c>
      <c r="G364" t="s">
        <v>704</v>
      </c>
      <c r="H364" s="1">
        <v>45089</v>
      </c>
      <c r="I364" s="1">
        <v>45107</v>
      </c>
      <c r="J364" s="3">
        <v>7269.35</v>
      </c>
      <c r="K364" s="4">
        <f t="shared" si="28"/>
        <v>18</v>
      </c>
      <c r="L364" t="str">
        <f t="shared" si="25"/>
        <v>Jun</v>
      </c>
      <c r="M364">
        <f t="shared" si="26"/>
        <v>2023</v>
      </c>
      <c r="N364">
        <f t="shared" si="27"/>
        <v>88</v>
      </c>
    </row>
    <row r="365" spans="1:14" x14ac:dyDescent="0.3">
      <c r="A365" t="s">
        <v>808</v>
      </c>
      <c r="B365" t="s">
        <v>809</v>
      </c>
      <c r="C365" s="1">
        <v>25335</v>
      </c>
      <c r="D365" t="s">
        <v>21</v>
      </c>
      <c r="E365" t="s">
        <v>673</v>
      </c>
      <c r="F365" t="s">
        <v>191</v>
      </c>
      <c r="G365" t="s">
        <v>677</v>
      </c>
      <c r="H365" s="1">
        <v>44758</v>
      </c>
      <c r="I365" s="1">
        <v>44761</v>
      </c>
      <c r="J365" s="3">
        <v>7216.95</v>
      </c>
      <c r="K365" s="4">
        <f t="shared" si="28"/>
        <v>3</v>
      </c>
      <c r="L365" t="str">
        <f t="shared" si="25"/>
        <v>Jul</v>
      </c>
      <c r="M365">
        <f t="shared" si="26"/>
        <v>2022</v>
      </c>
      <c r="N365">
        <f t="shared" si="27"/>
        <v>53</v>
      </c>
    </row>
    <row r="366" spans="1:14" x14ac:dyDescent="0.3">
      <c r="A366" t="s">
        <v>810</v>
      </c>
      <c r="B366" t="s">
        <v>811</v>
      </c>
      <c r="C366" s="1">
        <v>30852</v>
      </c>
      <c r="D366" t="s">
        <v>21</v>
      </c>
      <c r="E366" t="s">
        <v>657</v>
      </c>
      <c r="F366" t="s">
        <v>191</v>
      </c>
      <c r="G366" t="s">
        <v>699</v>
      </c>
      <c r="H366" s="1">
        <v>44960</v>
      </c>
      <c r="I366" s="1">
        <v>44980</v>
      </c>
      <c r="J366" s="3">
        <v>7205.8</v>
      </c>
      <c r="K366" s="4">
        <f t="shared" si="28"/>
        <v>20</v>
      </c>
      <c r="L366" t="str">
        <f t="shared" si="25"/>
        <v>Feb</v>
      </c>
      <c r="M366">
        <f t="shared" si="26"/>
        <v>2023</v>
      </c>
      <c r="N366">
        <f t="shared" si="27"/>
        <v>38</v>
      </c>
    </row>
    <row r="367" spans="1:14" x14ac:dyDescent="0.3">
      <c r="A367" t="s">
        <v>812</v>
      </c>
      <c r="B367" t="s">
        <v>813</v>
      </c>
      <c r="C367" s="1">
        <v>32587</v>
      </c>
      <c r="D367" t="s">
        <v>21</v>
      </c>
      <c r="E367" t="s">
        <v>2143</v>
      </c>
      <c r="F367" t="s">
        <v>191</v>
      </c>
      <c r="G367" t="s">
        <v>324</v>
      </c>
      <c r="H367" s="1">
        <v>45414</v>
      </c>
      <c r="I367" s="1">
        <v>45433</v>
      </c>
      <c r="J367" s="3">
        <v>7151.35</v>
      </c>
      <c r="K367" s="4">
        <f t="shared" si="28"/>
        <v>19</v>
      </c>
      <c r="L367" t="str">
        <f t="shared" si="25"/>
        <v>May</v>
      </c>
      <c r="M367">
        <f t="shared" si="26"/>
        <v>2024</v>
      </c>
      <c r="N367">
        <f t="shared" si="27"/>
        <v>35</v>
      </c>
    </row>
    <row r="368" spans="1:14" x14ac:dyDescent="0.3">
      <c r="A368" t="s">
        <v>814</v>
      </c>
      <c r="B368" t="s">
        <v>815</v>
      </c>
      <c r="C368" s="1">
        <v>21883</v>
      </c>
      <c r="D368" t="s">
        <v>15</v>
      </c>
      <c r="E368" t="s">
        <v>2141</v>
      </c>
      <c r="F368" t="s">
        <v>84</v>
      </c>
      <c r="G368" t="s">
        <v>357</v>
      </c>
      <c r="H368" s="1">
        <v>44594</v>
      </c>
      <c r="I368" s="1">
        <v>44621</v>
      </c>
      <c r="J368" s="3">
        <v>7143.32</v>
      </c>
      <c r="K368" s="4">
        <f t="shared" si="28"/>
        <v>27</v>
      </c>
      <c r="L368" t="str">
        <f t="shared" si="25"/>
        <v>Feb</v>
      </c>
      <c r="M368">
        <f t="shared" si="26"/>
        <v>2022</v>
      </c>
      <c r="N368">
        <f t="shared" si="27"/>
        <v>62</v>
      </c>
    </row>
    <row r="369" spans="1:14" x14ac:dyDescent="0.3">
      <c r="A369" t="s">
        <v>816</v>
      </c>
      <c r="B369" t="s">
        <v>817</v>
      </c>
      <c r="C369" s="1">
        <v>30650</v>
      </c>
      <c r="D369" t="s">
        <v>15</v>
      </c>
      <c r="E369" t="s">
        <v>2143</v>
      </c>
      <c r="F369" t="s">
        <v>191</v>
      </c>
      <c r="G369" t="s">
        <v>380</v>
      </c>
      <c r="H369" s="1">
        <v>44886</v>
      </c>
      <c r="I369" s="1">
        <v>44901</v>
      </c>
      <c r="J369" s="3">
        <v>7134.35</v>
      </c>
      <c r="K369" s="4">
        <f t="shared" si="28"/>
        <v>15</v>
      </c>
      <c r="L369" t="str">
        <f t="shared" ref="L369:L430" si="29">TEXT(H369,"mmm")</f>
        <v>Nov</v>
      </c>
      <c r="M369">
        <f t="shared" si="26"/>
        <v>2022</v>
      </c>
      <c r="N369">
        <f t="shared" si="27"/>
        <v>38</v>
      </c>
    </row>
    <row r="370" spans="1:14" x14ac:dyDescent="0.3">
      <c r="A370" t="s">
        <v>818</v>
      </c>
      <c r="B370" t="s">
        <v>819</v>
      </c>
      <c r="C370" s="1">
        <v>31545</v>
      </c>
      <c r="D370" t="s">
        <v>15</v>
      </c>
      <c r="E370" t="s">
        <v>673</v>
      </c>
      <c r="F370" t="s">
        <v>191</v>
      </c>
      <c r="G370" t="s">
        <v>674</v>
      </c>
      <c r="H370" s="1">
        <v>44705</v>
      </c>
      <c r="I370" s="1">
        <v>44714</v>
      </c>
      <c r="J370" s="3">
        <v>7056.87</v>
      </c>
      <c r="K370" s="4">
        <f t="shared" si="28"/>
        <v>9</v>
      </c>
      <c r="L370" t="str">
        <f t="shared" si="29"/>
        <v>May</v>
      </c>
      <c r="M370">
        <f t="shared" si="26"/>
        <v>2022</v>
      </c>
      <c r="N370">
        <f t="shared" si="27"/>
        <v>36</v>
      </c>
    </row>
    <row r="371" spans="1:14" x14ac:dyDescent="0.3">
      <c r="A371" t="s">
        <v>820</v>
      </c>
      <c r="B371" t="s">
        <v>821</v>
      </c>
      <c r="C371" s="1">
        <v>20792</v>
      </c>
      <c r="D371" t="s">
        <v>21</v>
      </c>
      <c r="E371" t="s">
        <v>673</v>
      </c>
      <c r="F371" t="s">
        <v>191</v>
      </c>
      <c r="G371" t="s">
        <v>674</v>
      </c>
      <c r="H371" s="1">
        <v>44881</v>
      </c>
      <c r="I371" s="1">
        <v>44910</v>
      </c>
      <c r="J371" s="3">
        <v>6981.78</v>
      </c>
      <c r="K371" s="4">
        <f t="shared" si="28"/>
        <v>29</v>
      </c>
      <c r="L371" t="str">
        <f t="shared" si="29"/>
        <v>Nov</v>
      </c>
      <c r="M371">
        <f t="shared" si="26"/>
        <v>2022</v>
      </c>
      <c r="N371">
        <f t="shared" si="27"/>
        <v>65</v>
      </c>
    </row>
    <row r="372" spans="1:14" x14ac:dyDescent="0.3">
      <c r="A372" t="s">
        <v>822</v>
      </c>
      <c r="B372" t="s">
        <v>823</v>
      </c>
      <c r="C372" s="1">
        <v>30176</v>
      </c>
      <c r="D372" t="s">
        <v>21</v>
      </c>
      <c r="E372" t="s">
        <v>2142</v>
      </c>
      <c r="F372" t="s">
        <v>95</v>
      </c>
      <c r="G372" t="s">
        <v>302</v>
      </c>
      <c r="H372" s="1">
        <v>45120</v>
      </c>
      <c r="I372" s="1">
        <v>45131</v>
      </c>
      <c r="J372" s="3">
        <v>6976.82</v>
      </c>
      <c r="K372" s="4">
        <f t="shared" si="28"/>
        <v>11</v>
      </c>
      <c r="L372" t="str">
        <f t="shared" si="29"/>
        <v>Jul</v>
      </c>
      <c r="M372">
        <f t="shared" si="26"/>
        <v>2023</v>
      </c>
      <c r="N372">
        <f t="shared" si="27"/>
        <v>40</v>
      </c>
    </row>
    <row r="373" spans="1:14" x14ac:dyDescent="0.3">
      <c r="A373" t="s">
        <v>824</v>
      </c>
      <c r="B373" t="s">
        <v>825</v>
      </c>
      <c r="C373" s="1">
        <v>21651</v>
      </c>
      <c r="D373" t="s">
        <v>15</v>
      </c>
      <c r="E373" t="s">
        <v>2143</v>
      </c>
      <c r="F373" t="s">
        <v>191</v>
      </c>
      <c r="G373" t="s">
        <v>476</v>
      </c>
      <c r="H373" s="1">
        <v>45406</v>
      </c>
      <c r="I373" s="1">
        <v>45429</v>
      </c>
      <c r="J373" s="3">
        <v>6890.14</v>
      </c>
      <c r="K373" s="4">
        <f t="shared" si="28"/>
        <v>23</v>
      </c>
      <c r="L373" t="str">
        <f t="shared" si="29"/>
        <v>Apr</v>
      </c>
      <c r="M373">
        <f t="shared" si="26"/>
        <v>2024</v>
      </c>
      <c r="N373">
        <f t="shared" si="27"/>
        <v>65</v>
      </c>
    </row>
    <row r="374" spans="1:14" x14ac:dyDescent="0.3">
      <c r="A374" t="s">
        <v>826</v>
      </c>
      <c r="B374" t="s">
        <v>827</v>
      </c>
      <c r="C374" s="1">
        <v>38731</v>
      </c>
      <c r="D374" t="s">
        <v>21</v>
      </c>
      <c r="E374" t="s">
        <v>657</v>
      </c>
      <c r="F374" t="s">
        <v>658</v>
      </c>
      <c r="G374" t="s">
        <v>699</v>
      </c>
      <c r="H374" s="1">
        <v>44499</v>
      </c>
      <c r="I374" s="1">
        <v>44512</v>
      </c>
      <c r="J374" s="3">
        <v>6823.1</v>
      </c>
      <c r="K374" s="4">
        <f t="shared" si="28"/>
        <v>13</v>
      </c>
      <c r="L374" t="str">
        <f t="shared" si="29"/>
        <v>Oct</v>
      </c>
      <c r="M374">
        <f t="shared" si="26"/>
        <v>2021</v>
      </c>
      <c r="N374">
        <f t="shared" si="27"/>
        <v>15</v>
      </c>
    </row>
    <row r="375" spans="1:14" x14ac:dyDescent="0.3">
      <c r="A375" t="s">
        <v>828</v>
      </c>
      <c r="B375" t="s">
        <v>829</v>
      </c>
      <c r="C375" s="1">
        <v>26949</v>
      </c>
      <c r="D375" t="s">
        <v>21</v>
      </c>
      <c r="E375" t="s">
        <v>657</v>
      </c>
      <c r="F375" t="s">
        <v>17</v>
      </c>
      <c r="G375" t="s">
        <v>659</v>
      </c>
      <c r="H375" s="1">
        <v>45277</v>
      </c>
      <c r="I375" s="1">
        <v>45285</v>
      </c>
      <c r="J375" s="3">
        <v>6814.73</v>
      </c>
      <c r="K375" s="4">
        <f t="shared" si="28"/>
        <v>8</v>
      </c>
      <c r="L375" t="str">
        <f t="shared" si="29"/>
        <v>Dec</v>
      </c>
      <c r="M375">
        <f t="shared" si="26"/>
        <v>2023</v>
      </c>
      <c r="N375">
        <f t="shared" si="27"/>
        <v>50</v>
      </c>
    </row>
    <row r="376" spans="1:14" x14ac:dyDescent="0.3">
      <c r="A376" t="s">
        <v>830</v>
      </c>
      <c r="B376" t="s">
        <v>831</v>
      </c>
      <c r="C376" s="1">
        <v>38495</v>
      </c>
      <c r="D376" t="s">
        <v>21</v>
      </c>
      <c r="E376" t="s">
        <v>682</v>
      </c>
      <c r="F376" t="s">
        <v>746</v>
      </c>
      <c r="G376" t="s">
        <v>704</v>
      </c>
      <c r="H376" s="1">
        <v>45225</v>
      </c>
      <c r="I376" s="1">
        <v>45237</v>
      </c>
      <c r="J376" s="3">
        <v>6729.24</v>
      </c>
      <c r="K376" s="4">
        <f t="shared" si="28"/>
        <v>12</v>
      </c>
      <c r="L376" t="str">
        <f t="shared" si="29"/>
        <v>Oct</v>
      </c>
      <c r="M376">
        <f t="shared" si="26"/>
        <v>2023</v>
      </c>
      <c r="N376">
        <f t="shared" si="27"/>
        <v>18</v>
      </c>
    </row>
    <row r="377" spans="1:14" x14ac:dyDescent="0.3">
      <c r="A377" t="s">
        <v>832</v>
      </c>
      <c r="B377" t="s">
        <v>833</v>
      </c>
      <c r="C377" s="1">
        <v>19602</v>
      </c>
      <c r="D377" t="s">
        <v>21</v>
      </c>
      <c r="E377" t="s">
        <v>2146</v>
      </c>
      <c r="F377" t="s">
        <v>84</v>
      </c>
      <c r="G377" t="s">
        <v>308</v>
      </c>
      <c r="H377" s="1">
        <v>44539</v>
      </c>
      <c r="I377" s="1">
        <v>44553</v>
      </c>
      <c r="J377" s="3">
        <v>6707.59</v>
      </c>
      <c r="K377" s="4">
        <f t="shared" si="28"/>
        <v>14</v>
      </c>
      <c r="L377" t="str">
        <f t="shared" si="29"/>
        <v>Dec</v>
      </c>
      <c r="M377">
        <f t="shared" si="26"/>
        <v>2021</v>
      </c>
      <c r="N377">
        <f t="shared" si="27"/>
        <v>68</v>
      </c>
    </row>
    <row r="378" spans="1:14" x14ac:dyDescent="0.3">
      <c r="A378" t="s">
        <v>834</v>
      </c>
      <c r="B378" t="s">
        <v>835</v>
      </c>
      <c r="C378" s="1">
        <v>30280</v>
      </c>
      <c r="D378" t="s">
        <v>21</v>
      </c>
      <c r="E378" t="s">
        <v>657</v>
      </c>
      <c r="F378" t="s">
        <v>191</v>
      </c>
      <c r="G378" t="s">
        <v>659</v>
      </c>
      <c r="H378" s="1">
        <v>44463</v>
      </c>
      <c r="I378" s="1">
        <v>44493</v>
      </c>
      <c r="J378" s="3">
        <v>6671.07</v>
      </c>
      <c r="K378" s="4">
        <f t="shared" si="28"/>
        <v>30</v>
      </c>
      <c r="L378" t="str">
        <f t="shared" si="29"/>
        <v>Sep</v>
      </c>
      <c r="M378">
        <f t="shared" si="26"/>
        <v>2021</v>
      </c>
      <c r="N378">
        <f t="shared" si="27"/>
        <v>38</v>
      </c>
    </row>
    <row r="379" spans="1:14" x14ac:dyDescent="0.3">
      <c r="A379" t="s">
        <v>836</v>
      </c>
      <c r="B379" t="s">
        <v>837</v>
      </c>
      <c r="C379" s="1">
        <v>23900</v>
      </c>
      <c r="D379" t="s">
        <v>15</v>
      </c>
      <c r="E379" t="s">
        <v>657</v>
      </c>
      <c r="F379" t="s">
        <v>17</v>
      </c>
      <c r="G379" t="s">
        <v>666</v>
      </c>
      <c r="H379" s="1">
        <v>45429</v>
      </c>
      <c r="I379" s="1">
        <v>45443</v>
      </c>
      <c r="J379" s="3">
        <v>6565.75</v>
      </c>
      <c r="K379" s="4">
        <f t="shared" si="28"/>
        <v>14</v>
      </c>
      <c r="L379" t="str">
        <f t="shared" si="29"/>
        <v>May</v>
      </c>
      <c r="M379">
        <f t="shared" si="26"/>
        <v>2024</v>
      </c>
      <c r="N379">
        <f t="shared" si="27"/>
        <v>58</v>
      </c>
    </row>
    <row r="380" spans="1:14" x14ac:dyDescent="0.3">
      <c r="A380" t="s">
        <v>838</v>
      </c>
      <c r="B380" t="s">
        <v>839</v>
      </c>
      <c r="C380" s="1">
        <v>37361</v>
      </c>
      <c r="D380" t="s">
        <v>21</v>
      </c>
      <c r="E380" t="s">
        <v>673</v>
      </c>
      <c r="F380" t="s">
        <v>84</v>
      </c>
      <c r="G380" t="s">
        <v>721</v>
      </c>
      <c r="H380" s="1">
        <v>44471</v>
      </c>
      <c r="I380" s="1">
        <v>44486</v>
      </c>
      <c r="J380" s="3">
        <v>6554.54</v>
      </c>
      <c r="K380" s="4">
        <f t="shared" si="28"/>
        <v>15</v>
      </c>
      <c r="L380" t="str">
        <f t="shared" si="29"/>
        <v>Oct</v>
      </c>
      <c r="M380">
        <f t="shared" si="26"/>
        <v>2021</v>
      </c>
      <c r="N380">
        <f t="shared" si="27"/>
        <v>19</v>
      </c>
    </row>
    <row r="381" spans="1:14" x14ac:dyDescent="0.3">
      <c r="A381" t="s">
        <v>840</v>
      </c>
      <c r="B381" t="s">
        <v>841</v>
      </c>
      <c r="C381" s="1">
        <v>13008</v>
      </c>
      <c r="D381" t="s">
        <v>21</v>
      </c>
      <c r="E381" t="s">
        <v>657</v>
      </c>
      <c r="F381" t="s">
        <v>17</v>
      </c>
      <c r="G381" t="s">
        <v>666</v>
      </c>
      <c r="H381" s="1">
        <v>45154</v>
      </c>
      <c r="I381" s="1">
        <v>45173</v>
      </c>
      <c r="J381" s="3">
        <v>6550.66</v>
      </c>
      <c r="K381" s="4">
        <f t="shared" si="28"/>
        <v>19</v>
      </c>
      <c r="L381" t="str">
        <f t="shared" si="29"/>
        <v>Aug</v>
      </c>
      <c r="M381">
        <f t="shared" ref="M381:M443" si="30">YEAR(H381)</f>
        <v>2023</v>
      </c>
      <c r="N381">
        <f t="shared" ref="N381:N443" si="31">DATEDIF(C381, H381, "Y")</f>
        <v>88</v>
      </c>
    </row>
    <row r="382" spans="1:14" x14ac:dyDescent="0.3">
      <c r="A382" t="s">
        <v>842</v>
      </c>
      <c r="B382" t="s">
        <v>843</v>
      </c>
      <c r="C382" s="1">
        <v>32738</v>
      </c>
      <c r="D382" t="s">
        <v>21</v>
      </c>
      <c r="E382" t="s">
        <v>2143</v>
      </c>
      <c r="F382" t="s">
        <v>84</v>
      </c>
      <c r="G382" t="s">
        <v>324</v>
      </c>
      <c r="H382" s="1">
        <v>45119</v>
      </c>
      <c r="I382" s="1">
        <v>45127</v>
      </c>
      <c r="J382" s="3">
        <v>6525.32</v>
      </c>
      <c r="K382" s="4">
        <f t="shared" si="28"/>
        <v>8</v>
      </c>
      <c r="L382" t="str">
        <f t="shared" si="29"/>
        <v>Jul</v>
      </c>
      <c r="M382">
        <f t="shared" si="30"/>
        <v>2023</v>
      </c>
      <c r="N382">
        <f t="shared" si="31"/>
        <v>33</v>
      </c>
    </row>
    <row r="383" spans="1:14" x14ac:dyDescent="0.3">
      <c r="A383" t="s">
        <v>844</v>
      </c>
      <c r="B383" t="s">
        <v>845</v>
      </c>
      <c r="C383" s="1">
        <v>23417</v>
      </c>
      <c r="D383" t="s">
        <v>21</v>
      </c>
      <c r="E383" t="s">
        <v>657</v>
      </c>
      <c r="F383" t="s">
        <v>658</v>
      </c>
      <c r="G383" t="s">
        <v>699</v>
      </c>
      <c r="H383" s="1">
        <v>45418</v>
      </c>
      <c r="I383" s="1">
        <v>45446</v>
      </c>
      <c r="J383" s="3">
        <v>6508.91</v>
      </c>
      <c r="K383" s="4">
        <f t="shared" si="28"/>
        <v>28</v>
      </c>
      <c r="L383" t="str">
        <f t="shared" si="29"/>
        <v>May</v>
      </c>
      <c r="M383">
        <f t="shared" si="30"/>
        <v>2024</v>
      </c>
      <c r="N383">
        <f t="shared" si="31"/>
        <v>60</v>
      </c>
    </row>
    <row r="384" spans="1:14" x14ac:dyDescent="0.3">
      <c r="A384" t="s">
        <v>846</v>
      </c>
      <c r="B384" t="s">
        <v>847</v>
      </c>
      <c r="C384" s="1">
        <v>24364</v>
      </c>
      <c r="D384" t="s">
        <v>15</v>
      </c>
      <c r="E384" t="s">
        <v>682</v>
      </c>
      <c r="F384" t="s">
        <v>746</v>
      </c>
      <c r="G384" t="s">
        <v>793</v>
      </c>
      <c r="H384" s="1">
        <v>44707</v>
      </c>
      <c r="I384" s="1">
        <v>44734</v>
      </c>
      <c r="J384" s="3">
        <v>6496.06</v>
      </c>
      <c r="K384" s="4">
        <f t="shared" si="28"/>
        <v>27</v>
      </c>
      <c r="L384" t="str">
        <f t="shared" si="29"/>
        <v>May</v>
      </c>
      <c r="M384">
        <f t="shared" si="30"/>
        <v>2022</v>
      </c>
      <c r="N384">
        <f t="shared" si="31"/>
        <v>55</v>
      </c>
    </row>
    <row r="385" spans="1:14" x14ac:dyDescent="0.3">
      <c r="A385" t="s">
        <v>848</v>
      </c>
      <c r="B385" t="s">
        <v>849</v>
      </c>
      <c r="C385" s="1">
        <v>18441</v>
      </c>
      <c r="D385" t="s">
        <v>15</v>
      </c>
      <c r="E385" t="s">
        <v>673</v>
      </c>
      <c r="F385" t="s">
        <v>84</v>
      </c>
      <c r="G385" t="s">
        <v>721</v>
      </c>
      <c r="H385" s="1">
        <v>44600</v>
      </c>
      <c r="I385" s="1">
        <v>44605</v>
      </c>
      <c r="J385" s="3">
        <v>6372.55</v>
      </c>
      <c r="K385" s="4">
        <f t="shared" si="28"/>
        <v>5</v>
      </c>
      <c r="L385" t="str">
        <f t="shared" si="29"/>
        <v>Feb</v>
      </c>
      <c r="M385">
        <f t="shared" si="30"/>
        <v>2022</v>
      </c>
      <c r="N385">
        <f t="shared" si="31"/>
        <v>71</v>
      </c>
    </row>
    <row r="386" spans="1:14" x14ac:dyDescent="0.3">
      <c r="A386" t="s">
        <v>850</v>
      </c>
      <c r="B386" t="s">
        <v>851</v>
      </c>
      <c r="C386" s="1">
        <v>37392</v>
      </c>
      <c r="D386" t="s">
        <v>15</v>
      </c>
      <c r="E386" t="s">
        <v>682</v>
      </c>
      <c r="F386" t="s">
        <v>84</v>
      </c>
      <c r="G386" t="s">
        <v>793</v>
      </c>
      <c r="H386" s="1">
        <v>44770</v>
      </c>
      <c r="I386" s="1">
        <v>44793</v>
      </c>
      <c r="J386" s="3">
        <v>6255.99</v>
      </c>
      <c r="K386" s="4">
        <f t="shared" si="28"/>
        <v>23</v>
      </c>
      <c r="L386" t="str">
        <f t="shared" si="29"/>
        <v>Jul</v>
      </c>
      <c r="M386">
        <f t="shared" si="30"/>
        <v>2022</v>
      </c>
      <c r="N386">
        <f t="shared" si="31"/>
        <v>20</v>
      </c>
    </row>
    <row r="387" spans="1:14" x14ac:dyDescent="0.3">
      <c r="A387" t="s">
        <v>852</v>
      </c>
      <c r="B387" t="s">
        <v>853</v>
      </c>
      <c r="C387" s="1">
        <v>10314</v>
      </c>
      <c r="D387" t="s">
        <v>15</v>
      </c>
      <c r="E387" t="s">
        <v>481</v>
      </c>
      <c r="F387" t="s">
        <v>17</v>
      </c>
      <c r="G387" t="s">
        <v>495</v>
      </c>
      <c r="H387" s="1">
        <v>44900</v>
      </c>
      <c r="I387" s="1">
        <v>44926</v>
      </c>
      <c r="J387" s="3">
        <v>6244.67</v>
      </c>
      <c r="K387" s="4">
        <f t="shared" si="28"/>
        <v>26</v>
      </c>
      <c r="L387" t="str">
        <f t="shared" si="29"/>
        <v>Dec</v>
      </c>
      <c r="M387">
        <f t="shared" si="30"/>
        <v>2022</v>
      </c>
      <c r="N387">
        <f t="shared" si="31"/>
        <v>94</v>
      </c>
    </row>
    <row r="388" spans="1:14" x14ac:dyDescent="0.3">
      <c r="A388" t="s">
        <v>854</v>
      </c>
      <c r="B388" t="s">
        <v>855</v>
      </c>
      <c r="C388" s="1">
        <v>38104</v>
      </c>
      <c r="D388" t="s">
        <v>15</v>
      </c>
      <c r="E388" t="s">
        <v>79</v>
      </c>
      <c r="F388" t="s">
        <v>91</v>
      </c>
      <c r="G388" t="s">
        <v>92</v>
      </c>
      <c r="H388" s="1">
        <v>44874</v>
      </c>
      <c r="I388" s="1">
        <v>44885</v>
      </c>
      <c r="J388" s="3">
        <v>6224.7</v>
      </c>
      <c r="K388" s="4">
        <f t="shared" si="28"/>
        <v>11</v>
      </c>
      <c r="L388" t="str">
        <f t="shared" si="29"/>
        <v>Nov</v>
      </c>
      <c r="M388">
        <f t="shared" si="30"/>
        <v>2022</v>
      </c>
      <c r="N388">
        <f t="shared" si="31"/>
        <v>18</v>
      </c>
    </row>
    <row r="389" spans="1:14" x14ac:dyDescent="0.3">
      <c r="A389" t="s">
        <v>856</v>
      </c>
      <c r="B389" t="s">
        <v>857</v>
      </c>
      <c r="C389" s="1">
        <v>19778</v>
      </c>
      <c r="D389" t="s">
        <v>15</v>
      </c>
      <c r="E389" t="s">
        <v>2141</v>
      </c>
      <c r="F389" t="s">
        <v>84</v>
      </c>
      <c r="G389" t="s">
        <v>281</v>
      </c>
      <c r="H389" s="1">
        <v>44615</v>
      </c>
      <c r="I389" s="1">
        <v>44624</v>
      </c>
      <c r="J389" s="3">
        <v>6192.22</v>
      </c>
      <c r="K389" s="4">
        <f t="shared" si="28"/>
        <v>9</v>
      </c>
      <c r="L389" t="str">
        <f t="shared" si="29"/>
        <v>Feb</v>
      </c>
      <c r="M389">
        <f t="shared" si="30"/>
        <v>2022</v>
      </c>
      <c r="N389">
        <f t="shared" si="31"/>
        <v>68</v>
      </c>
    </row>
    <row r="390" spans="1:14" x14ac:dyDescent="0.3">
      <c r="A390" t="s">
        <v>858</v>
      </c>
      <c r="B390" t="s">
        <v>859</v>
      </c>
      <c r="C390" s="1">
        <v>23669</v>
      </c>
      <c r="D390" t="s">
        <v>15</v>
      </c>
      <c r="E390" t="s">
        <v>2142</v>
      </c>
      <c r="F390" t="s">
        <v>84</v>
      </c>
      <c r="G390" t="s">
        <v>302</v>
      </c>
      <c r="H390" s="1">
        <v>45315</v>
      </c>
      <c r="I390" s="1">
        <v>45342</v>
      </c>
      <c r="J390" s="3">
        <v>6171.86</v>
      </c>
      <c r="K390" s="4">
        <f t="shared" si="28"/>
        <v>27</v>
      </c>
      <c r="L390" t="str">
        <f t="shared" si="29"/>
        <v>Jan</v>
      </c>
      <c r="M390">
        <f t="shared" si="30"/>
        <v>2024</v>
      </c>
      <c r="N390">
        <f t="shared" si="31"/>
        <v>59</v>
      </c>
    </row>
    <row r="391" spans="1:14" x14ac:dyDescent="0.3">
      <c r="A391" t="s">
        <v>860</v>
      </c>
      <c r="B391" t="s">
        <v>861</v>
      </c>
      <c r="C391" s="1">
        <v>36349</v>
      </c>
      <c r="D391" t="s">
        <v>15</v>
      </c>
      <c r="E391" t="s">
        <v>682</v>
      </c>
      <c r="F391" t="s">
        <v>746</v>
      </c>
      <c r="G391" t="s">
        <v>684</v>
      </c>
      <c r="H391" s="1">
        <v>44600</v>
      </c>
      <c r="I391" s="1">
        <v>44624</v>
      </c>
      <c r="J391" s="3">
        <v>6100.03</v>
      </c>
      <c r="K391" s="4">
        <f t="shared" si="28"/>
        <v>24</v>
      </c>
      <c r="L391" t="str">
        <f t="shared" si="29"/>
        <v>Feb</v>
      </c>
      <c r="M391">
        <f t="shared" si="30"/>
        <v>2022</v>
      </c>
      <c r="N391">
        <f t="shared" si="31"/>
        <v>22</v>
      </c>
    </row>
    <row r="392" spans="1:14" x14ac:dyDescent="0.3">
      <c r="A392" t="s">
        <v>862</v>
      </c>
      <c r="B392" t="s">
        <v>863</v>
      </c>
      <c r="C392" s="1">
        <v>33907</v>
      </c>
      <c r="D392" t="s">
        <v>15</v>
      </c>
      <c r="E392" t="s">
        <v>657</v>
      </c>
      <c r="F392" t="s">
        <v>658</v>
      </c>
      <c r="G392" t="s">
        <v>699</v>
      </c>
      <c r="H392" s="1">
        <v>44978</v>
      </c>
      <c r="I392" s="1">
        <v>45000</v>
      </c>
      <c r="J392" s="3">
        <v>6070.87</v>
      </c>
      <c r="K392" s="4">
        <f t="shared" si="28"/>
        <v>22</v>
      </c>
      <c r="L392" t="str">
        <f t="shared" si="29"/>
        <v>Feb</v>
      </c>
      <c r="M392">
        <f t="shared" si="30"/>
        <v>2023</v>
      </c>
      <c r="N392">
        <f t="shared" si="31"/>
        <v>30</v>
      </c>
    </row>
    <row r="393" spans="1:14" x14ac:dyDescent="0.3">
      <c r="A393" t="s">
        <v>864</v>
      </c>
      <c r="B393" t="s">
        <v>865</v>
      </c>
      <c r="C393" s="1">
        <v>33290</v>
      </c>
      <c r="D393" t="s">
        <v>15</v>
      </c>
      <c r="E393" t="s">
        <v>2146</v>
      </c>
      <c r="F393" t="s">
        <v>191</v>
      </c>
      <c r="G393" t="s">
        <v>427</v>
      </c>
      <c r="H393" s="1">
        <v>44928</v>
      </c>
      <c r="I393" s="1">
        <v>44944</v>
      </c>
      <c r="J393" s="3">
        <v>6006.38</v>
      </c>
      <c r="K393" s="4">
        <f t="shared" si="28"/>
        <v>16</v>
      </c>
      <c r="L393" t="str">
        <f t="shared" si="29"/>
        <v>Jan</v>
      </c>
      <c r="M393">
        <f t="shared" si="30"/>
        <v>2023</v>
      </c>
      <c r="N393">
        <f t="shared" si="31"/>
        <v>31</v>
      </c>
    </row>
    <row r="394" spans="1:14" x14ac:dyDescent="0.3">
      <c r="A394" t="s">
        <v>866</v>
      </c>
      <c r="B394" t="s">
        <v>867</v>
      </c>
      <c r="C394" s="1">
        <v>35985</v>
      </c>
      <c r="D394" t="s">
        <v>21</v>
      </c>
      <c r="E394" t="s">
        <v>657</v>
      </c>
      <c r="F394" t="s">
        <v>191</v>
      </c>
      <c r="G394" t="s">
        <v>659</v>
      </c>
      <c r="H394" s="1">
        <v>44715</v>
      </c>
      <c r="I394" s="1">
        <v>44736</v>
      </c>
      <c r="J394" s="3">
        <v>5998.63</v>
      </c>
      <c r="K394" s="4">
        <f t="shared" si="28"/>
        <v>21</v>
      </c>
      <c r="L394" t="str">
        <f t="shared" si="29"/>
        <v>Jun</v>
      </c>
      <c r="M394">
        <f t="shared" si="30"/>
        <v>2022</v>
      </c>
      <c r="N394">
        <f t="shared" si="31"/>
        <v>23</v>
      </c>
    </row>
    <row r="395" spans="1:14" x14ac:dyDescent="0.3">
      <c r="A395" t="s">
        <v>868</v>
      </c>
      <c r="B395" t="s">
        <v>869</v>
      </c>
      <c r="C395" s="1">
        <v>11377</v>
      </c>
      <c r="D395" t="s">
        <v>21</v>
      </c>
      <c r="E395" t="s">
        <v>79</v>
      </c>
      <c r="F395" t="s">
        <v>91</v>
      </c>
      <c r="G395" t="s">
        <v>81</v>
      </c>
      <c r="H395" s="1">
        <v>44492</v>
      </c>
      <c r="I395" s="1">
        <v>44517</v>
      </c>
      <c r="J395" s="3">
        <v>5963.88</v>
      </c>
      <c r="K395" s="4">
        <f t="shared" si="28"/>
        <v>25</v>
      </c>
      <c r="L395" t="str">
        <f t="shared" si="29"/>
        <v>Oct</v>
      </c>
      <c r="M395">
        <f t="shared" si="30"/>
        <v>2021</v>
      </c>
      <c r="N395">
        <f t="shared" si="31"/>
        <v>90</v>
      </c>
    </row>
    <row r="396" spans="1:14" x14ac:dyDescent="0.3">
      <c r="A396" t="s">
        <v>870</v>
      </c>
      <c r="B396" t="s">
        <v>871</v>
      </c>
      <c r="C396" s="1">
        <v>18326</v>
      </c>
      <c r="D396" t="s">
        <v>15</v>
      </c>
      <c r="E396" t="s">
        <v>481</v>
      </c>
      <c r="F396" t="s">
        <v>84</v>
      </c>
      <c r="G396" t="s">
        <v>495</v>
      </c>
      <c r="H396" s="1">
        <v>44580</v>
      </c>
      <c r="I396" s="1">
        <v>44599</v>
      </c>
      <c r="J396" s="3">
        <v>5944.73</v>
      </c>
      <c r="K396" s="4">
        <f t="shared" si="28"/>
        <v>19</v>
      </c>
      <c r="L396" t="str">
        <f t="shared" si="29"/>
        <v>Jan</v>
      </c>
      <c r="M396">
        <f t="shared" si="30"/>
        <v>2022</v>
      </c>
      <c r="N396">
        <f t="shared" si="31"/>
        <v>71</v>
      </c>
    </row>
    <row r="397" spans="1:14" x14ac:dyDescent="0.3">
      <c r="A397" t="s">
        <v>872</v>
      </c>
      <c r="B397" t="s">
        <v>873</v>
      </c>
      <c r="C397" s="1">
        <v>26824</v>
      </c>
      <c r="D397" t="s">
        <v>21</v>
      </c>
      <c r="E397" t="s">
        <v>294</v>
      </c>
      <c r="F397" t="s">
        <v>385</v>
      </c>
      <c r="G397" t="s">
        <v>296</v>
      </c>
      <c r="H397" s="1">
        <v>45156</v>
      </c>
      <c r="I397" s="1">
        <v>45166</v>
      </c>
      <c r="J397" s="3">
        <v>5943.08</v>
      </c>
      <c r="K397" s="4">
        <f t="shared" si="28"/>
        <v>10</v>
      </c>
      <c r="L397" t="str">
        <f t="shared" si="29"/>
        <v>Aug</v>
      </c>
      <c r="M397">
        <f t="shared" si="30"/>
        <v>2023</v>
      </c>
      <c r="N397">
        <f t="shared" si="31"/>
        <v>50</v>
      </c>
    </row>
    <row r="398" spans="1:14" x14ac:dyDescent="0.3">
      <c r="A398" t="s">
        <v>874</v>
      </c>
      <c r="B398" t="s">
        <v>875</v>
      </c>
      <c r="C398" s="1">
        <v>36726</v>
      </c>
      <c r="D398" t="s">
        <v>15</v>
      </c>
      <c r="E398" t="s">
        <v>682</v>
      </c>
      <c r="F398" t="s">
        <v>746</v>
      </c>
      <c r="G398" t="s">
        <v>684</v>
      </c>
      <c r="H398" s="1">
        <v>44468</v>
      </c>
      <c r="I398" s="1">
        <v>44489</v>
      </c>
      <c r="J398" s="3">
        <v>5905.59</v>
      </c>
      <c r="K398" s="4">
        <f t="shared" si="28"/>
        <v>21</v>
      </c>
      <c r="L398" t="str">
        <f t="shared" si="29"/>
        <v>Sep</v>
      </c>
      <c r="M398">
        <f t="shared" si="30"/>
        <v>2021</v>
      </c>
      <c r="N398">
        <f t="shared" si="31"/>
        <v>21</v>
      </c>
    </row>
    <row r="399" spans="1:14" x14ac:dyDescent="0.3">
      <c r="A399" t="s">
        <v>876</v>
      </c>
      <c r="B399" t="s">
        <v>877</v>
      </c>
      <c r="C399" s="1">
        <v>22816</v>
      </c>
      <c r="D399" t="s">
        <v>21</v>
      </c>
      <c r="E399" t="s">
        <v>2141</v>
      </c>
      <c r="F399" t="s">
        <v>286</v>
      </c>
      <c r="G399" t="s">
        <v>281</v>
      </c>
      <c r="H399" s="1">
        <v>44464</v>
      </c>
      <c r="I399" s="1">
        <v>44486</v>
      </c>
      <c r="J399" s="3">
        <v>5897.98</v>
      </c>
      <c r="K399" s="4">
        <f t="shared" si="28"/>
        <v>22</v>
      </c>
      <c r="L399" t="str">
        <f t="shared" si="29"/>
        <v>Sep</v>
      </c>
      <c r="M399">
        <f t="shared" si="30"/>
        <v>2021</v>
      </c>
      <c r="N399">
        <f t="shared" si="31"/>
        <v>59</v>
      </c>
    </row>
    <row r="400" spans="1:14" x14ac:dyDescent="0.3">
      <c r="A400" t="s">
        <v>878</v>
      </c>
      <c r="B400" t="s">
        <v>879</v>
      </c>
      <c r="C400" s="1">
        <v>36466</v>
      </c>
      <c r="D400" t="s">
        <v>21</v>
      </c>
      <c r="E400" t="s">
        <v>673</v>
      </c>
      <c r="F400" t="s">
        <v>191</v>
      </c>
      <c r="G400" t="s">
        <v>677</v>
      </c>
      <c r="H400" s="1">
        <v>45242</v>
      </c>
      <c r="I400" s="1">
        <v>45265</v>
      </c>
      <c r="J400" s="3">
        <v>5837.5</v>
      </c>
      <c r="K400" s="4">
        <f t="shared" si="28"/>
        <v>23</v>
      </c>
      <c r="L400" t="str">
        <f t="shared" si="29"/>
        <v>Nov</v>
      </c>
      <c r="M400">
        <f t="shared" si="30"/>
        <v>2023</v>
      </c>
      <c r="N400">
        <f t="shared" si="31"/>
        <v>24</v>
      </c>
    </row>
    <row r="401" spans="1:14" x14ac:dyDescent="0.3">
      <c r="A401" t="s">
        <v>880</v>
      </c>
      <c r="B401" t="s">
        <v>881</v>
      </c>
      <c r="C401" s="1">
        <v>26223</v>
      </c>
      <c r="D401" t="s">
        <v>21</v>
      </c>
      <c r="E401" t="s">
        <v>2142</v>
      </c>
      <c r="F401" t="s">
        <v>95</v>
      </c>
      <c r="G401" t="s">
        <v>289</v>
      </c>
      <c r="H401" s="1">
        <v>44677</v>
      </c>
      <c r="I401" s="1">
        <v>44680</v>
      </c>
      <c r="J401" s="3">
        <v>5831.51</v>
      </c>
      <c r="K401" s="4">
        <f t="shared" si="28"/>
        <v>3</v>
      </c>
      <c r="L401" t="str">
        <f t="shared" si="29"/>
        <v>Apr</v>
      </c>
      <c r="M401">
        <f t="shared" si="30"/>
        <v>2022</v>
      </c>
      <c r="N401">
        <f t="shared" si="31"/>
        <v>50</v>
      </c>
    </row>
    <row r="402" spans="1:14" x14ac:dyDescent="0.3">
      <c r="A402" t="s">
        <v>882</v>
      </c>
      <c r="B402" t="s">
        <v>883</v>
      </c>
      <c r="C402" s="1">
        <v>33161</v>
      </c>
      <c r="D402" t="s">
        <v>21</v>
      </c>
      <c r="E402" t="s">
        <v>673</v>
      </c>
      <c r="F402" t="s">
        <v>191</v>
      </c>
      <c r="G402" t="s">
        <v>674</v>
      </c>
      <c r="H402" s="1">
        <v>44970</v>
      </c>
      <c r="I402" s="1">
        <v>44979</v>
      </c>
      <c r="J402" s="3">
        <v>5774.94</v>
      </c>
      <c r="K402" s="4">
        <f t="shared" si="28"/>
        <v>9</v>
      </c>
      <c r="L402" t="str">
        <f t="shared" si="29"/>
        <v>Feb</v>
      </c>
      <c r="M402">
        <f t="shared" si="30"/>
        <v>2023</v>
      </c>
      <c r="N402">
        <f t="shared" si="31"/>
        <v>32</v>
      </c>
    </row>
    <row r="403" spans="1:14" x14ac:dyDescent="0.3">
      <c r="A403" t="s">
        <v>884</v>
      </c>
      <c r="B403" t="s">
        <v>885</v>
      </c>
      <c r="C403" s="1">
        <v>17293</v>
      </c>
      <c r="D403" t="s">
        <v>15</v>
      </c>
      <c r="E403" t="s">
        <v>673</v>
      </c>
      <c r="F403" t="s">
        <v>84</v>
      </c>
      <c r="G403" t="s">
        <v>677</v>
      </c>
      <c r="H403" s="1">
        <v>44573</v>
      </c>
      <c r="I403" s="1">
        <v>44597</v>
      </c>
      <c r="J403" s="3">
        <v>5746.82</v>
      </c>
      <c r="K403" s="4">
        <f t="shared" si="28"/>
        <v>24</v>
      </c>
      <c r="L403" t="str">
        <f t="shared" si="29"/>
        <v>Jan</v>
      </c>
      <c r="M403">
        <f t="shared" si="30"/>
        <v>2022</v>
      </c>
      <c r="N403">
        <f t="shared" si="31"/>
        <v>74</v>
      </c>
    </row>
    <row r="404" spans="1:14" x14ac:dyDescent="0.3">
      <c r="A404" t="s">
        <v>886</v>
      </c>
      <c r="B404" t="s">
        <v>887</v>
      </c>
      <c r="C404" s="1">
        <v>28075</v>
      </c>
      <c r="D404" t="s">
        <v>15</v>
      </c>
      <c r="E404" t="s">
        <v>657</v>
      </c>
      <c r="F404" t="s">
        <v>191</v>
      </c>
      <c r="G404" t="s">
        <v>666</v>
      </c>
      <c r="H404" s="1">
        <v>44394</v>
      </c>
      <c r="I404" s="1">
        <v>44417</v>
      </c>
      <c r="J404" s="3">
        <v>5717.08</v>
      </c>
      <c r="K404" s="4">
        <f t="shared" si="28"/>
        <v>23</v>
      </c>
      <c r="L404" t="str">
        <f t="shared" si="29"/>
        <v>Jul</v>
      </c>
      <c r="M404">
        <f t="shared" si="30"/>
        <v>2021</v>
      </c>
      <c r="N404">
        <f t="shared" si="31"/>
        <v>44</v>
      </c>
    </row>
    <row r="405" spans="1:14" x14ac:dyDescent="0.3">
      <c r="A405" t="s">
        <v>888</v>
      </c>
      <c r="B405" t="s">
        <v>889</v>
      </c>
      <c r="C405" s="1">
        <v>23241</v>
      </c>
      <c r="D405" t="s">
        <v>15</v>
      </c>
      <c r="E405" t="s">
        <v>657</v>
      </c>
      <c r="F405" t="s">
        <v>191</v>
      </c>
      <c r="G405" t="s">
        <v>659</v>
      </c>
      <c r="H405" s="1">
        <v>44576</v>
      </c>
      <c r="I405" s="1">
        <v>44597</v>
      </c>
      <c r="J405" s="3">
        <v>5699.43</v>
      </c>
      <c r="K405" s="4">
        <f t="shared" si="28"/>
        <v>21</v>
      </c>
      <c r="L405" t="str">
        <f t="shared" si="29"/>
        <v>Jan</v>
      </c>
      <c r="M405">
        <f t="shared" si="30"/>
        <v>2022</v>
      </c>
      <c r="N405">
        <f t="shared" si="31"/>
        <v>58</v>
      </c>
    </row>
    <row r="406" spans="1:14" x14ac:dyDescent="0.3">
      <c r="A406" t="s">
        <v>890</v>
      </c>
      <c r="B406" t="s">
        <v>891</v>
      </c>
      <c r="C406" s="1">
        <v>35114</v>
      </c>
      <c r="D406" t="s">
        <v>15</v>
      </c>
      <c r="E406" t="s">
        <v>657</v>
      </c>
      <c r="F406" t="s">
        <v>658</v>
      </c>
      <c r="G406" t="s">
        <v>659</v>
      </c>
      <c r="H406" s="1">
        <v>45411</v>
      </c>
      <c r="I406" s="1">
        <v>45420</v>
      </c>
      <c r="J406" s="3">
        <v>5656.22</v>
      </c>
      <c r="K406" s="4">
        <f t="shared" si="28"/>
        <v>9</v>
      </c>
      <c r="L406" t="str">
        <f t="shared" si="29"/>
        <v>Apr</v>
      </c>
      <c r="M406">
        <f t="shared" si="30"/>
        <v>2024</v>
      </c>
      <c r="N406">
        <f t="shared" si="31"/>
        <v>28</v>
      </c>
    </row>
    <row r="407" spans="1:14" x14ac:dyDescent="0.3">
      <c r="A407" t="s">
        <v>892</v>
      </c>
      <c r="B407" t="s">
        <v>893</v>
      </c>
      <c r="C407" s="1">
        <v>30220</v>
      </c>
      <c r="D407" t="s">
        <v>15</v>
      </c>
      <c r="E407" t="s">
        <v>657</v>
      </c>
      <c r="F407" t="s">
        <v>658</v>
      </c>
      <c r="G407" t="s">
        <v>659</v>
      </c>
      <c r="H407" s="1">
        <v>44962</v>
      </c>
      <c r="I407" s="1">
        <v>44965</v>
      </c>
      <c r="J407" s="3">
        <v>5623.5</v>
      </c>
      <c r="K407" s="4">
        <f t="shared" si="28"/>
        <v>3</v>
      </c>
      <c r="L407" t="str">
        <f t="shared" si="29"/>
        <v>Feb</v>
      </c>
      <c r="M407">
        <f t="shared" si="30"/>
        <v>2023</v>
      </c>
      <c r="N407">
        <f t="shared" si="31"/>
        <v>40</v>
      </c>
    </row>
    <row r="408" spans="1:14" x14ac:dyDescent="0.3">
      <c r="A408" t="s">
        <v>894</v>
      </c>
      <c r="B408" t="s">
        <v>895</v>
      </c>
      <c r="C408" s="1">
        <v>9020</v>
      </c>
      <c r="D408" t="s">
        <v>15</v>
      </c>
      <c r="E408" t="s">
        <v>2143</v>
      </c>
      <c r="F408" t="s">
        <v>191</v>
      </c>
      <c r="G408" t="s">
        <v>476</v>
      </c>
      <c r="H408" s="1">
        <v>44829</v>
      </c>
      <c r="I408" s="1">
        <v>44847</v>
      </c>
      <c r="J408" s="3">
        <v>5621.6</v>
      </c>
      <c r="K408" s="4">
        <f t="shared" ref="K408:K434" si="32" xml:space="preserve"> I408-H408</f>
        <v>18</v>
      </c>
      <c r="L408" t="str">
        <f t="shared" si="29"/>
        <v>Sep</v>
      </c>
      <c r="M408">
        <f t="shared" si="30"/>
        <v>2022</v>
      </c>
      <c r="N408">
        <f t="shared" si="31"/>
        <v>98</v>
      </c>
    </row>
    <row r="409" spans="1:14" x14ac:dyDescent="0.3">
      <c r="A409" t="s">
        <v>896</v>
      </c>
      <c r="B409" t="s">
        <v>897</v>
      </c>
      <c r="C409" s="1">
        <v>10841</v>
      </c>
      <c r="D409" t="s">
        <v>21</v>
      </c>
      <c r="E409" t="s">
        <v>2146</v>
      </c>
      <c r="F409" t="s">
        <v>84</v>
      </c>
      <c r="G409" t="s">
        <v>427</v>
      </c>
      <c r="H409" s="1">
        <v>44747</v>
      </c>
      <c r="I409" s="1">
        <v>44768</v>
      </c>
      <c r="J409" s="3">
        <v>5535.47</v>
      </c>
      <c r="K409" s="4">
        <f t="shared" si="32"/>
        <v>21</v>
      </c>
      <c r="L409" t="str">
        <f t="shared" si="29"/>
        <v>Jul</v>
      </c>
      <c r="M409">
        <f t="shared" si="30"/>
        <v>2022</v>
      </c>
      <c r="N409">
        <f t="shared" si="31"/>
        <v>92</v>
      </c>
    </row>
    <row r="410" spans="1:14" x14ac:dyDescent="0.3">
      <c r="A410" t="s">
        <v>898</v>
      </c>
      <c r="B410" t="s">
        <v>899</v>
      </c>
      <c r="C410" s="1">
        <v>20053</v>
      </c>
      <c r="D410" t="s">
        <v>15</v>
      </c>
      <c r="E410" t="s">
        <v>673</v>
      </c>
      <c r="F410" t="s">
        <v>84</v>
      </c>
      <c r="G410" t="s">
        <v>674</v>
      </c>
      <c r="H410" s="1">
        <v>44839</v>
      </c>
      <c r="I410" s="1">
        <v>44867</v>
      </c>
      <c r="J410" s="3">
        <v>5523.14</v>
      </c>
      <c r="K410" s="4">
        <f t="shared" si="32"/>
        <v>28</v>
      </c>
      <c r="L410" t="str">
        <f t="shared" si="29"/>
        <v>Oct</v>
      </c>
      <c r="M410">
        <f t="shared" si="30"/>
        <v>2022</v>
      </c>
      <c r="N410">
        <f t="shared" si="31"/>
        <v>67</v>
      </c>
    </row>
    <row r="411" spans="1:14" x14ac:dyDescent="0.3">
      <c r="A411" t="s">
        <v>900</v>
      </c>
      <c r="B411" t="s">
        <v>901</v>
      </c>
      <c r="C411" s="1">
        <v>42980</v>
      </c>
      <c r="D411" t="s">
        <v>21</v>
      </c>
      <c r="E411" t="s">
        <v>79</v>
      </c>
      <c r="F411" t="s">
        <v>80</v>
      </c>
      <c r="G411" t="s">
        <v>81</v>
      </c>
      <c r="H411" s="1">
        <v>45144</v>
      </c>
      <c r="I411" s="1">
        <v>45149</v>
      </c>
      <c r="J411" s="3">
        <v>5514.05</v>
      </c>
      <c r="K411" s="4">
        <f t="shared" si="32"/>
        <v>5</v>
      </c>
      <c r="L411" t="str">
        <f t="shared" si="29"/>
        <v>Aug</v>
      </c>
      <c r="M411">
        <f t="shared" si="30"/>
        <v>2023</v>
      </c>
      <c r="N411">
        <f t="shared" si="31"/>
        <v>5</v>
      </c>
    </row>
    <row r="412" spans="1:14" x14ac:dyDescent="0.3">
      <c r="A412" t="s">
        <v>902</v>
      </c>
      <c r="B412" t="s">
        <v>903</v>
      </c>
      <c r="C412" s="1">
        <v>31581</v>
      </c>
      <c r="D412" t="s">
        <v>15</v>
      </c>
      <c r="E412" t="s">
        <v>294</v>
      </c>
      <c r="F412" t="s">
        <v>385</v>
      </c>
      <c r="G412" t="s">
        <v>296</v>
      </c>
      <c r="H412" s="1">
        <v>45263</v>
      </c>
      <c r="I412" s="1">
        <v>45270</v>
      </c>
      <c r="J412" s="3">
        <v>5428.3</v>
      </c>
      <c r="K412" s="4">
        <f t="shared" si="32"/>
        <v>7</v>
      </c>
      <c r="L412" t="str">
        <f t="shared" si="29"/>
        <v>Dec</v>
      </c>
      <c r="M412">
        <f t="shared" si="30"/>
        <v>2023</v>
      </c>
      <c r="N412">
        <f t="shared" si="31"/>
        <v>37</v>
      </c>
    </row>
    <row r="413" spans="1:14" x14ac:dyDescent="0.3">
      <c r="A413" t="s">
        <v>904</v>
      </c>
      <c r="B413" t="s">
        <v>905</v>
      </c>
      <c r="C413" s="1">
        <v>26487</v>
      </c>
      <c r="D413" t="s">
        <v>15</v>
      </c>
      <c r="E413" t="s">
        <v>294</v>
      </c>
      <c r="F413" t="s">
        <v>385</v>
      </c>
      <c r="G413" t="s">
        <v>296</v>
      </c>
      <c r="H413" s="1">
        <v>45302</v>
      </c>
      <c r="I413" s="1">
        <v>45320</v>
      </c>
      <c r="J413" s="3">
        <v>5425.04</v>
      </c>
      <c r="K413" s="4">
        <f t="shared" si="32"/>
        <v>18</v>
      </c>
      <c r="L413" t="str">
        <f t="shared" si="29"/>
        <v>Jan</v>
      </c>
      <c r="M413">
        <f t="shared" si="30"/>
        <v>2024</v>
      </c>
      <c r="N413">
        <f t="shared" si="31"/>
        <v>51</v>
      </c>
    </row>
    <row r="414" spans="1:14" x14ac:dyDescent="0.3">
      <c r="A414" t="s">
        <v>906</v>
      </c>
      <c r="B414" t="s">
        <v>907</v>
      </c>
      <c r="C414" s="1">
        <v>26641</v>
      </c>
      <c r="D414" t="s">
        <v>21</v>
      </c>
      <c r="E414" t="s">
        <v>2146</v>
      </c>
      <c r="F414" t="s">
        <v>191</v>
      </c>
      <c r="G414" t="s">
        <v>274</v>
      </c>
      <c r="H414" s="1">
        <v>44874</v>
      </c>
      <c r="I414" s="1">
        <v>44878</v>
      </c>
      <c r="J414" s="3">
        <v>5372.51</v>
      </c>
      <c r="K414" s="4">
        <f t="shared" si="32"/>
        <v>4</v>
      </c>
      <c r="L414" t="str">
        <f t="shared" si="29"/>
        <v>Nov</v>
      </c>
      <c r="M414">
        <f t="shared" si="30"/>
        <v>2022</v>
      </c>
      <c r="N414">
        <f t="shared" si="31"/>
        <v>49</v>
      </c>
    </row>
    <row r="415" spans="1:14" x14ac:dyDescent="0.3">
      <c r="A415" t="s">
        <v>908</v>
      </c>
      <c r="B415" t="s">
        <v>909</v>
      </c>
      <c r="C415" s="1">
        <v>13614</v>
      </c>
      <c r="D415" t="s">
        <v>21</v>
      </c>
      <c r="E415" t="s">
        <v>2143</v>
      </c>
      <c r="F415" t="s">
        <v>84</v>
      </c>
      <c r="G415" t="s">
        <v>380</v>
      </c>
      <c r="H415" s="1">
        <v>45142</v>
      </c>
      <c r="I415" s="1">
        <v>45144</v>
      </c>
      <c r="J415" s="3">
        <v>5356.65</v>
      </c>
      <c r="K415" s="4">
        <f t="shared" si="32"/>
        <v>2</v>
      </c>
      <c r="L415" t="str">
        <f t="shared" si="29"/>
        <v>Aug</v>
      </c>
      <c r="M415">
        <f t="shared" si="30"/>
        <v>2023</v>
      </c>
      <c r="N415">
        <f t="shared" si="31"/>
        <v>86</v>
      </c>
    </row>
    <row r="416" spans="1:14" x14ac:dyDescent="0.3">
      <c r="A416" t="s">
        <v>910</v>
      </c>
      <c r="B416" t="s">
        <v>911</v>
      </c>
      <c r="C416" s="1">
        <v>21521</v>
      </c>
      <c r="D416" t="s">
        <v>15</v>
      </c>
      <c r="E416" t="s">
        <v>2141</v>
      </c>
      <c r="F416" t="s">
        <v>84</v>
      </c>
      <c r="G416" t="s">
        <v>281</v>
      </c>
      <c r="H416" s="1">
        <v>44812</v>
      </c>
      <c r="I416" s="1">
        <v>44814</v>
      </c>
      <c r="J416" s="3">
        <v>5225.13</v>
      </c>
      <c r="K416" s="4">
        <f t="shared" si="32"/>
        <v>2</v>
      </c>
      <c r="L416" t="str">
        <f t="shared" si="29"/>
        <v>Sep</v>
      </c>
      <c r="M416">
        <f t="shared" si="30"/>
        <v>2022</v>
      </c>
      <c r="N416">
        <f t="shared" si="31"/>
        <v>63</v>
      </c>
    </row>
    <row r="417" spans="1:14" x14ac:dyDescent="0.3">
      <c r="A417" t="s">
        <v>912</v>
      </c>
      <c r="B417" t="s">
        <v>913</v>
      </c>
      <c r="C417" s="1">
        <v>29881</v>
      </c>
      <c r="D417" t="s">
        <v>21</v>
      </c>
      <c r="E417" t="s">
        <v>294</v>
      </c>
      <c r="F417" t="s">
        <v>95</v>
      </c>
      <c r="G417" t="s">
        <v>410</v>
      </c>
      <c r="H417" s="1">
        <v>45049</v>
      </c>
      <c r="I417" s="1">
        <v>45052</v>
      </c>
      <c r="J417" s="3">
        <v>5213.6899999999996</v>
      </c>
      <c r="K417" s="4">
        <f t="shared" si="32"/>
        <v>3</v>
      </c>
      <c r="L417" t="str">
        <f t="shared" si="29"/>
        <v>May</v>
      </c>
      <c r="M417">
        <f t="shared" si="30"/>
        <v>2023</v>
      </c>
      <c r="N417">
        <f t="shared" si="31"/>
        <v>41</v>
      </c>
    </row>
    <row r="418" spans="1:14" x14ac:dyDescent="0.3">
      <c r="A418" t="s">
        <v>914</v>
      </c>
      <c r="B418" t="s">
        <v>915</v>
      </c>
      <c r="C418" s="1">
        <v>30851</v>
      </c>
      <c r="D418" t="s">
        <v>21</v>
      </c>
      <c r="E418" t="s">
        <v>682</v>
      </c>
      <c r="F418" t="s">
        <v>683</v>
      </c>
      <c r="G418" t="s">
        <v>684</v>
      </c>
      <c r="H418" s="1">
        <v>44516</v>
      </c>
      <c r="I418" s="1">
        <v>44529</v>
      </c>
      <c r="J418" s="3">
        <v>5212.7299999999996</v>
      </c>
      <c r="K418" s="4">
        <f t="shared" si="32"/>
        <v>13</v>
      </c>
      <c r="L418" t="str">
        <f t="shared" si="29"/>
        <v>Nov</v>
      </c>
      <c r="M418">
        <f t="shared" si="30"/>
        <v>2021</v>
      </c>
      <c r="N418">
        <f t="shared" si="31"/>
        <v>37</v>
      </c>
    </row>
    <row r="419" spans="1:14" x14ac:dyDescent="0.3">
      <c r="A419" t="s">
        <v>916</v>
      </c>
      <c r="B419" t="s">
        <v>917</v>
      </c>
      <c r="C419" s="1">
        <v>26994</v>
      </c>
      <c r="D419" t="s">
        <v>21</v>
      </c>
      <c r="E419" t="s">
        <v>682</v>
      </c>
      <c r="F419" t="s">
        <v>746</v>
      </c>
      <c r="G419" t="s">
        <v>793</v>
      </c>
      <c r="H419" s="1">
        <v>44498</v>
      </c>
      <c r="I419" s="1">
        <v>44521</v>
      </c>
      <c r="J419" s="3">
        <v>5017.34</v>
      </c>
      <c r="K419" s="4">
        <f t="shared" si="32"/>
        <v>23</v>
      </c>
      <c r="L419" t="str">
        <f t="shared" si="29"/>
        <v>Oct</v>
      </c>
      <c r="M419">
        <f t="shared" si="30"/>
        <v>2021</v>
      </c>
      <c r="N419">
        <f t="shared" si="31"/>
        <v>47</v>
      </c>
    </row>
    <row r="420" spans="1:14" x14ac:dyDescent="0.3">
      <c r="A420" t="s">
        <v>918</v>
      </c>
      <c r="B420" t="s">
        <v>919</v>
      </c>
      <c r="C420" s="1">
        <v>10356</v>
      </c>
      <c r="D420" t="s">
        <v>15</v>
      </c>
      <c r="E420" t="s">
        <v>673</v>
      </c>
      <c r="F420" t="s">
        <v>191</v>
      </c>
      <c r="G420" t="s">
        <v>721</v>
      </c>
      <c r="H420" s="1">
        <v>44929</v>
      </c>
      <c r="I420" s="1">
        <v>44951</v>
      </c>
      <c r="J420" s="3">
        <v>5012.87</v>
      </c>
      <c r="K420" s="4">
        <f t="shared" si="32"/>
        <v>22</v>
      </c>
      <c r="L420" t="str">
        <f t="shared" si="29"/>
        <v>Jan</v>
      </c>
      <c r="M420">
        <f t="shared" si="30"/>
        <v>2023</v>
      </c>
      <c r="N420">
        <f t="shared" si="31"/>
        <v>94</v>
      </c>
    </row>
    <row r="421" spans="1:14" x14ac:dyDescent="0.3">
      <c r="A421" t="s">
        <v>920</v>
      </c>
      <c r="B421" t="s">
        <v>921</v>
      </c>
      <c r="C421" s="1">
        <v>23724</v>
      </c>
      <c r="D421" t="s">
        <v>15</v>
      </c>
      <c r="E421" t="s">
        <v>922</v>
      </c>
      <c r="F421" t="s">
        <v>683</v>
      </c>
      <c r="G421" t="s">
        <v>923</v>
      </c>
      <c r="H421" s="1">
        <v>45334</v>
      </c>
      <c r="I421" s="1">
        <v>45344</v>
      </c>
      <c r="J421" s="3">
        <v>4994.5200000000004</v>
      </c>
      <c r="K421" s="4">
        <f t="shared" si="32"/>
        <v>10</v>
      </c>
      <c r="L421" t="str">
        <f t="shared" si="29"/>
        <v>Feb</v>
      </c>
      <c r="M421">
        <f t="shared" si="30"/>
        <v>2024</v>
      </c>
      <c r="N421">
        <f t="shared" si="31"/>
        <v>59</v>
      </c>
    </row>
    <row r="422" spans="1:14" x14ac:dyDescent="0.3">
      <c r="A422" t="s">
        <v>924</v>
      </c>
      <c r="B422" t="s">
        <v>925</v>
      </c>
      <c r="C422" s="1">
        <v>17567</v>
      </c>
      <c r="D422" t="s">
        <v>21</v>
      </c>
      <c r="E422" t="s">
        <v>682</v>
      </c>
      <c r="F422" t="s">
        <v>683</v>
      </c>
      <c r="G422" t="s">
        <v>793</v>
      </c>
      <c r="H422" s="1">
        <v>44974</v>
      </c>
      <c r="I422" s="1">
        <v>44978</v>
      </c>
      <c r="J422" s="3">
        <v>4960.79</v>
      </c>
      <c r="K422" s="4">
        <f t="shared" si="32"/>
        <v>4</v>
      </c>
      <c r="L422" t="str">
        <f t="shared" si="29"/>
        <v>Feb</v>
      </c>
      <c r="M422">
        <f t="shared" si="30"/>
        <v>2023</v>
      </c>
      <c r="N422">
        <f t="shared" si="31"/>
        <v>75</v>
      </c>
    </row>
    <row r="423" spans="1:14" x14ac:dyDescent="0.3">
      <c r="A423" t="s">
        <v>926</v>
      </c>
      <c r="B423" t="s">
        <v>927</v>
      </c>
      <c r="C423" s="1">
        <v>25377</v>
      </c>
      <c r="D423" t="s">
        <v>15</v>
      </c>
      <c r="E423" t="s">
        <v>481</v>
      </c>
      <c r="F423" t="s">
        <v>84</v>
      </c>
      <c r="G423" t="s">
        <v>495</v>
      </c>
      <c r="H423" s="1">
        <v>44858</v>
      </c>
      <c r="I423" s="1">
        <v>44878</v>
      </c>
      <c r="J423" s="3">
        <v>4943.25</v>
      </c>
      <c r="K423" s="4">
        <f t="shared" si="32"/>
        <v>20</v>
      </c>
      <c r="L423" t="str">
        <f t="shared" si="29"/>
        <v>Oct</v>
      </c>
      <c r="M423">
        <f t="shared" si="30"/>
        <v>2022</v>
      </c>
      <c r="N423">
        <f t="shared" si="31"/>
        <v>53</v>
      </c>
    </row>
    <row r="424" spans="1:14" x14ac:dyDescent="0.3">
      <c r="A424" t="s">
        <v>928</v>
      </c>
      <c r="B424" t="s">
        <v>929</v>
      </c>
      <c r="C424" s="1">
        <v>18297</v>
      </c>
      <c r="D424" t="s">
        <v>21</v>
      </c>
      <c r="E424" t="s">
        <v>922</v>
      </c>
      <c r="F424" t="s">
        <v>84</v>
      </c>
      <c r="G424" t="s">
        <v>930</v>
      </c>
      <c r="H424" s="1">
        <v>44560</v>
      </c>
      <c r="I424" s="1">
        <v>44577</v>
      </c>
      <c r="J424" s="3">
        <v>4925.04</v>
      </c>
      <c r="K424" s="4">
        <f t="shared" si="32"/>
        <v>17</v>
      </c>
      <c r="L424" t="str">
        <f t="shared" si="29"/>
        <v>Dec</v>
      </c>
      <c r="M424">
        <f t="shared" si="30"/>
        <v>2021</v>
      </c>
      <c r="N424">
        <f t="shared" si="31"/>
        <v>71</v>
      </c>
    </row>
    <row r="425" spans="1:14" x14ac:dyDescent="0.3">
      <c r="A425" t="s">
        <v>931</v>
      </c>
      <c r="B425" t="s">
        <v>932</v>
      </c>
      <c r="C425" s="1">
        <v>17622</v>
      </c>
      <c r="D425" t="s">
        <v>15</v>
      </c>
      <c r="E425" t="s">
        <v>922</v>
      </c>
      <c r="F425" t="s">
        <v>683</v>
      </c>
      <c r="G425" t="s">
        <v>933</v>
      </c>
      <c r="H425" s="1">
        <v>44551</v>
      </c>
      <c r="I425" s="1">
        <v>44579</v>
      </c>
      <c r="J425" s="3">
        <v>4908.09</v>
      </c>
      <c r="K425" s="4">
        <f t="shared" si="32"/>
        <v>28</v>
      </c>
      <c r="L425" t="str">
        <f t="shared" si="29"/>
        <v>Dec</v>
      </c>
      <c r="M425">
        <f t="shared" si="30"/>
        <v>2021</v>
      </c>
      <c r="N425">
        <f t="shared" si="31"/>
        <v>73</v>
      </c>
    </row>
    <row r="426" spans="1:14" x14ac:dyDescent="0.3">
      <c r="A426" t="s">
        <v>934</v>
      </c>
      <c r="B426" t="s">
        <v>935</v>
      </c>
      <c r="C426" s="1">
        <v>33729</v>
      </c>
      <c r="D426" t="s">
        <v>15</v>
      </c>
      <c r="E426" t="s">
        <v>936</v>
      </c>
      <c r="F426" t="s">
        <v>937</v>
      </c>
      <c r="G426" t="s">
        <v>938</v>
      </c>
      <c r="H426" s="1">
        <v>45111</v>
      </c>
      <c r="I426" s="1">
        <v>45114</v>
      </c>
      <c r="J426" s="3">
        <v>4906.97</v>
      </c>
      <c r="K426" s="4">
        <f t="shared" si="32"/>
        <v>3</v>
      </c>
      <c r="L426" t="str">
        <f t="shared" si="29"/>
        <v>Jul</v>
      </c>
      <c r="M426">
        <f t="shared" si="30"/>
        <v>2023</v>
      </c>
      <c r="N426">
        <f t="shared" si="31"/>
        <v>31</v>
      </c>
    </row>
    <row r="427" spans="1:14" x14ac:dyDescent="0.3">
      <c r="A427" t="s">
        <v>939</v>
      </c>
      <c r="B427" t="s">
        <v>940</v>
      </c>
      <c r="C427" s="1">
        <v>33226</v>
      </c>
      <c r="D427" t="s">
        <v>21</v>
      </c>
      <c r="E427" t="s">
        <v>922</v>
      </c>
      <c r="F427" t="s">
        <v>683</v>
      </c>
      <c r="G427" t="s">
        <v>930</v>
      </c>
      <c r="H427" s="1">
        <v>44393</v>
      </c>
      <c r="I427" s="1">
        <v>44397</v>
      </c>
      <c r="J427" s="3">
        <v>4879.91</v>
      </c>
      <c r="K427" s="4">
        <f t="shared" si="32"/>
        <v>4</v>
      </c>
      <c r="L427" t="str">
        <f t="shared" si="29"/>
        <v>Jul</v>
      </c>
      <c r="M427">
        <f t="shared" si="30"/>
        <v>2021</v>
      </c>
      <c r="N427">
        <f t="shared" si="31"/>
        <v>30</v>
      </c>
    </row>
    <row r="428" spans="1:14" x14ac:dyDescent="0.3">
      <c r="A428" t="s">
        <v>941</v>
      </c>
      <c r="B428" t="s">
        <v>942</v>
      </c>
      <c r="C428" s="1">
        <v>42864</v>
      </c>
      <c r="D428" t="s">
        <v>21</v>
      </c>
      <c r="E428" t="s">
        <v>682</v>
      </c>
      <c r="F428" t="s">
        <v>84</v>
      </c>
      <c r="G428" t="s">
        <v>684</v>
      </c>
      <c r="H428" s="1">
        <v>44678</v>
      </c>
      <c r="I428" s="1">
        <v>44697</v>
      </c>
      <c r="J428" s="3">
        <v>4879.84</v>
      </c>
      <c r="K428" s="4">
        <f t="shared" si="32"/>
        <v>19</v>
      </c>
      <c r="L428" t="str">
        <f t="shared" si="29"/>
        <v>Apr</v>
      </c>
      <c r="M428">
        <f t="shared" si="30"/>
        <v>2022</v>
      </c>
      <c r="N428">
        <f t="shared" si="31"/>
        <v>4</v>
      </c>
    </row>
    <row r="429" spans="1:14" x14ac:dyDescent="0.3">
      <c r="A429" t="s">
        <v>943</v>
      </c>
      <c r="B429" t="s">
        <v>944</v>
      </c>
      <c r="C429" s="1">
        <v>33046</v>
      </c>
      <c r="D429" t="s">
        <v>21</v>
      </c>
      <c r="E429" t="s">
        <v>936</v>
      </c>
      <c r="F429" t="s">
        <v>937</v>
      </c>
      <c r="G429" t="s">
        <v>945</v>
      </c>
      <c r="H429" s="1">
        <v>45466</v>
      </c>
      <c r="I429" s="1">
        <v>45492</v>
      </c>
      <c r="J429" s="3">
        <v>4855.51</v>
      </c>
      <c r="K429" s="4">
        <f t="shared" si="32"/>
        <v>26</v>
      </c>
      <c r="L429" t="str">
        <f t="shared" si="29"/>
        <v>Jun</v>
      </c>
      <c r="M429">
        <f t="shared" si="30"/>
        <v>2024</v>
      </c>
      <c r="N429">
        <f t="shared" si="31"/>
        <v>34</v>
      </c>
    </row>
    <row r="430" spans="1:14" x14ac:dyDescent="0.3">
      <c r="A430" t="s">
        <v>946</v>
      </c>
      <c r="B430" t="s">
        <v>947</v>
      </c>
      <c r="C430" s="1">
        <v>11073</v>
      </c>
      <c r="D430" t="s">
        <v>21</v>
      </c>
      <c r="E430" t="s">
        <v>922</v>
      </c>
      <c r="F430" t="s">
        <v>84</v>
      </c>
      <c r="G430" t="s">
        <v>933</v>
      </c>
      <c r="H430" s="1">
        <v>44933</v>
      </c>
      <c r="I430" s="1">
        <v>44962</v>
      </c>
      <c r="J430" s="3">
        <v>4789.76</v>
      </c>
      <c r="K430" s="4">
        <f t="shared" si="32"/>
        <v>29</v>
      </c>
      <c r="L430" t="str">
        <f t="shared" si="29"/>
        <v>Jan</v>
      </c>
      <c r="M430">
        <f t="shared" si="30"/>
        <v>2023</v>
      </c>
      <c r="N430">
        <f t="shared" si="31"/>
        <v>92</v>
      </c>
    </row>
    <row r="431" spans="1:14" x14ac:dyDescent="0.3">
      <c r="A431" t="s">
        <v>948</v>
      </c>
      <c r="B431" t="s">
        <v>949</v>
      </c>
      <c r="C431" s="1">
        <v>35445</v>
      </c>
      <c r="D431" t="s">
        <v>21</v>
      </c>
      <c r="E431" t="s">
        <v>682</v>
      </c>
      <c r="F431" t="s">
        <v>683</v>
      </c>
      <c r="G431" t="s">
        <v>793</v>
      </c>
      <c r="H431" s="1">
        <v>44578</v>
      </c>
      <c r="I431" s="1">
        <v>44588</v>
      </c>
      <c r="J431" s="3">
        <v>4784.99</v>
      </c>
      <c r="K431" s="4">
        <f t="shared" si="32"/>
        <v>10</v>
      </c>
      <c r="L431" t="str">
        <f t="shared" ref="L431:L494" si="33">TEXT(H431,"mmm")</f>
        <v>Jan</v>
      </c>
      <c r="M431">
        <f t="shared" si="30"/>
        <v>2022</v>
      </c>
      <c r="N431">
        <f t="shared" si="31"/>
        <v>25</v>
      </c>
    </row>
    <row r="432" spans="1:14" x14ac:dyDescent="0.3">
      <c r="A432" t="s">
        <v>950</v>
      </c>
      <c r="B432" t="s">
        <v>951</v>
      </c>
      <c r="C432" s="1">
        <v>16186</v>
      </c>
      <c r="D432" t="s">
        <v>15</v>
      </c>
      <c r="E432" t="s">
        <v>952</v>
      </c>
      <c r="F432" t="s">
        <v>953</v>
      </c>
      <c r="G432" t="s">
        <v>954</v>
      </c>
      <c r="H432" s="1">
        <v>44687</v>
      </c>
      <c r="I432" s="1">
        <v>44713</v>
      </c>
      <c r="J432" s="3">
        <v>4782.0200000000004</v>
      </c>
      <c r="K432" s="4">
        <f t="shared" si="32"/>
        <v>26</v>
      </c>
      <c r="L432" t="str">
        <f t="shared" si="33"/>
        <v>May</v>
      </c>
      <c r="M432">
        <f t="shared" si="30"/>
        <v>2022</v>
      </c>
      <c r="N432">
        <f t="shared" si="31"/>
        <v>78</v>
      </c>
    </row>
    <row r="433" spans="1:14" x14ac:dyDescent="0.3">
      <c r="A433" t="s">
        <v>955</v>
      </c>
      <c r="B433" t="s">
        <v>956</v>
      </c>
      <c r="C433" s="1">
        <v>20297</v>
      </c>
      <c r="D433" t="s">
        <v>15</v>
      </c>
      <c r="E433" t="s">
        <v>952</v>
      </c>
      <c r="F433" t="s">
        <v>953</v>
      </c>
      <c r="G433" t="s">
        <v>957</v>
      </c>
      <c r="H433" s="1">
        <v>45286</v>
      </c>
      <c r="I433" s="1">
        <v>45305</v>
      </c>
      <c r="J433" s="3">
        <v>4759.12</v>
      </c>
      <c r="K433" s="4">
        <f t="shared" si="32"/>
        <v>19</v>
      </c>
      <c r="L433" t="str">
        <f t="shared" si="33"/>
        <v>Dec</v>
      </c>
      <c r="M433">
        <f t="shared" si="30"/>
        <v>2023</v>
      </c>
      <c r="N433">
        <f t="shared" si="31"/>
        <v>68</v>
      </c>
    </row>
    <row r="434" spans="1:14" x14ac:dyDescent="0.3">
      <c r="A434" t="s">
        <v>958</v>
      </c>
      <c r="B434" t="s">
        <v>959</v>
      </c>
      <c r="C434" s="1">
        <v>30393</v>
      </c>
      <c r="D434" t="s">
        <v>15</v>
      </c>
      <c r="E434" t="s">
        <v>960</v>
      </c>
      <c r="F434" t="s">
        <v>84</v>
      </c>
      <c r="G434" t="s">
        <v>961</v>
      </c>
      <c r="H434" s="1">
        <v>45426</v>
      </c>
      <c r="I434" s="1">
        <v>45451</v>
      </c>
      <c r="J434" s="3">
        <v>4730.26</v>
      </c>
      <c r="K434" s="4">
        <f t="shared" si="32"/>
        <v>25</v>
      </c>
      <c r="L434" t="str">
        <f t="shared" si="33"/>
        <v>May</v>
      </c>
      <c r="M434">
        <f t="shared" si="30"/>
        <v>2024</v>
      </c>
      <c r="N434">
        <f t="shared" si="31"/>
        <v>41</v>
      </c>
    </row>
    <row r="435" spans="1:14" x14ac:dyDescent="0.3">
      <c r="A435" t="s">
        <v>962</v>
      </c>
      <c r="B435" t="s">
        <v>963</v>
      </c>
      <c r="C435" s="1">
        <v>30295</v>
      </c>
      <c r="D435" t="s">
        <v>15</v>
      </c>
      <c r="E435" t="s">
        <v>922</v>
      </c>
      <c r="F435" t="s">
        <v>683</v>
      </c>
      <c r="G435" t="s">
        <v>933</v>
      </c>
      <c r="H435" s="1">
        <v>45300</v>
      </c>
      <c r="I435" s="1">
        <v>45329</v>
      </c>
      <c r="J435" s="3">
        <v>4719.42</v>
      </c>
      <c r="K435" s="4">
        <f xml:space="preserve"> I435-H435</f>
        <v>29</v>
      </c>
      <c r="L435" t="str">
        <f t="shared" si="33"/>
        <v>Jan</v>
      </c>
      <c r="M435">
        <f t="shared" si="30"/>
        <v>2024</v>
      </c>
      <c r="N435">
        <f t="shared" si="31"/>
        <v>41</v>
      </c>
    </row>
    <row r="436" spans="1:14" x14ac:dyDescent="0.3">
      <c r="A436" t="s">
        <v>964</v>
      </c>
      <c r="B436" t="s">
        <v>965</v>
      </c>
      <c r="C436" s="1">
        <v>19439</v>
      </c>
      <c r="D436" t="s">
        <v>15</v>
      </c>
      <c r="E436" t="s">
        <v>936</v>
      </c>
      <c r="F436" t="s">
        <v>286</v>
      </c>
      <c r="G436" t="s">
        <v>945</v>
      </c>
      <c r="H436" s="1">
        <v>45442</v>
      </c>
      <c r="I436" s="1">
        <v>45451</v>
      </c>
      <c r="J436" s="3">
        <v>4714.6899999999996</v>
      </c>
      <c r="K436" s="4">
        <f t="shared" ref="K436:K449" si="34" xml:space="preserve"> I436-H436</f>
        <v>9</v>
      </c>
      <c r="L436" t="str">
        <f t="shared" si="33"/>
        <v>May</v>
      </c>
      <c r="M436">
        <f t="shared" si="30"/>
        <v>2024</v>
      </c>
      <c r="N436">
        <f t="shared" si="31"/>
        <v>71</v>
      </c>
    </row>
    <row r="437" spans="1:14" x14ac:dyDescent="0.3">
      <c r="A437" t="s">
        <v>966</v>
      </c>
      <c r="B437" t="s">
        <v>967</v>
      </c>
      <c r="C437" s="1">
        <v>39931</v>
      </c>
      <c r="D437" t="s">
        <v>21</v>
      </c>
      <c r="E437" t="s">
        <v>952</v>
      </c>
      <c r="F437" t="s">
        <v>968</v>
      </c>
      <c r="G437" t="s">
        <v>969</v>
      </c>
      <c r="H437" s="1">
        <v>45132</v>
      </c>
      <c r="I437" s="1">
        <v>45159</v>
      </c>
      <c r="J437" s="3">
        <v>4707.26</v>
      </c>
      <c r="K437" s="4">
        <f t="shared" si="34"/>
        <v>27</v>
      </c>
      <c r="L437" t="str">
        <f t="shared" si="33"/>
        <v>Jul</v>
      </c>
      <c r="M437">
        <f t="shared" si="30"/>
        <v>2023</v>
      </c>
      <c r="N437">
        <f t="shared" si="31"/>
        <v>14</v>
      </c>
    </row>
    <row r="438" spans="1:14" x14ac:dyDescent="0.3">
      <c r="A438" t="s">
        <v>970</v>
      </c>
      <c r="B438" t="s">
        <v>971</v>
      </c>
      <c r="C438" s="1">
        <v>26193</v>
      </c>
      <c r="D438" t="s">
        <v>15</v>
      </c>
      <c r="E438" t="s">
        <v>952</v>
      </c>
      <c r="F438" t="s">
        <v>953</v>
      </c>
      <c r="G438" t="s">
        <v>969</v>
      </c>
      <c r="H438" s="1">
        <v>45270</v>
      </c>
      <c r="I438" s="1">
        <v>45273</v>
      </c>
      <c r="J438" s="3">
        <v>4674.1899999999996</v>
      </c>
      <c r="K438" s="4">
        <f t="shared" si="34"/>
        <v>3</v>
      </c>
      <c r="L438" t="str">
        <f t="shared" si="33"/>
        <v>Dec</v>
      </c>
      <c r="M438">
        <f t="shared" si="30"/>
        <v>2023</v>
      </c>
      <c r="N438">
        <f t="shared" si="31"/>
        <v>52</v>
      </c>
    </row>
    <row r="439" spans="1:14" x14ac:dyDescent="0.3">
      <c r="A439" t="s">
        <v>972</v>
      </c>
      <c r="B439" t="s">
        <v>973</v>
      </c>
      <c r="C439" s="1">
        <v>32773</v>
      </c>
      <c r="D439" t="s">
        <v>21</v>
      </c>
      <c r="E439" t="s">
        <v>657</v>
      </c>
      <c r="F439" t="s">
        <v>191</v>
      </c>
      <c r="G439" t="s">
        <v>666</v>
      </c>
      <c r="H439" s="1">
        <v>45454</v>
      </c>
      <c r="I439" s="1">
        <v>45480</v>
      </c>
      <c r="J439" s="3">
        <v>4649.8999999999996</v>
      </c>
      <c r="K439" s="4">
        <f t="shared" si="34"/>
        <v>26</v>
      </c>
      <c r="L439" t="str">
        <f t="shared" si="33"/>
        <v>Jun</v>
      </c>
      <c r="M439">
        <f t="shared" si="30"/>
        <v>2024</v>
      </c>
      <c r="N439">
        <f t="shared" si="31"/>
        <v>34</v>
      </c>
    </row>
    <row r="440" spans="1:14" x14ac:dyDescent="0.3">
      <c r="A440" t="s">
        <v>974</v>
      </c>
      <c r="B440" t="s">
        <v>975</v>
      </c>
      <c r="C440" s="1">
        <v>18575</v>
      </c>
      <c r="D440" t="s">
        <v>15</v>
      </c>
      <c r="E440" t="s">
        <v>936</v>
      </c>
      <c r="F440" t="s">
        <v>937</v>
      </c>
      <c r="G440" t="s">
        <v>976</v>
      </c>
      <c r="H440" s="1">
        <v>44868</v>
      </c>
      <c r="I440" s="1">
        <v>44880</v>
      </c>
      <c r="J440" s="3">
        <v>4577.24</v>
      </c>
      <c r="K440" s="4">
        <f t="shared" si="34"/>
        <v>12</v>
      </c>
      <c r="L440" t="str">
        <f t="shared" si="33"/>
        <v>Nov</v>
      </c>
      <c r="M440">
        <f t="shared" si="30"/>
        <v>2022</v>
      </c>
      <c r="N440">
        <f t="shared" si="31"/>
        <v>71</v>
      </c>
    </row>
    <row r="441" spans="1:14" x14ac:dyDescent="0.3">
      <c r="A441" t="s">
        <v>977</v>
      </c>
      <c r="B441" t="s">
        <v>978</v>
      </c>
      <c r="C441" s="1">
        <v>9743</v>
      </c>
      <c r="D441" t="s">
        <v>21</v>
      </c>
      <c r="E441" t="s">
        <v>481</v>
      </c>
      <c r="F441" t="s">
        <v>17</v>
      </c>
      <c r="G441" t="s">
        <v>506</v>
      </c>
      <c r="H441" s="1">
        <v>44764</v>
      </c>
      <c r="I441" s="1">
        <v>44794</v>
      </c>
      <c r="J441" s="3">
        <v>4570.7299999999996</v>
      </c>
      <c r="K441" s="4">
        <f t="shared" si="34"/>
        <v>30</v>
      </c>
      <c r="L441" t="str">
        <f t="shared" si="33"/>
        <v>Jul</v>
      </c>
      <c r="M441">
        <f t="shared" si="30"/>
        <v>2022</v>
      </c>
      <c r="N441">
        <f t="shared" si="31"/>
        <v>95</v>
      </c>
    </row>
    <row r="442" spans="1:14" x14ac:dyDescent="0.3">
      <c r="A442" t="s">
        <v>979</v>
      </c>
      <c r="B442" t="s">
        <v>980</v>
      </c>
      <c r="C442" s="1">
        <v>20080</v>
      </c>
      <c r="D442" t="s">
        <v>15</v>
      </c>
      <c r="E442" t="s">
        <v>657</v>
      </c>
      <c r="F442" t="s">
        <v>191</v>
      </c>
      <c r="G442" t="s">
        <v>699</v>
      </c>
      <c r="H442" s="1">
        <v>45234</v>
      </c>
      <c r="I442" s="1">
        <v>45252</v>
      </c>
      <c r="J442" s="3">
        <v>4557.9799999999996</v>
      </c>
      <c r="K442" s="4">
        <f t="shared" si="34"/>
        <v>18</v>
      </c>
      <c r="L442" t="str">
        <f t="shared" si="33"/>
        <v>Nov</v>
      </c>
      <c r="M442">
        <f t="shared" si="30"/>
        <v>2023</v>
      </c>
      <c r="N442">
        <f t="shared" si="31"/>
        <v>68</v>
      </c>
    </row>
    <row r="443" spans="1:14" x14ac:dyDescent="0.3">
      <c r="A443" t="s">
        <v>981</v>
      </c>
      <c r="B443" t="s">
        <v>982</v>
      </c>
      <c r="C443" s="1">
        <v>14897</v>
      </c>
      <c r="D443" t="s">
        <v>15</v>
      </c>
      <c r="E443" t="s">
        <v>682</v>
      </c>
      <c r="F443" t="s">
        <v>84</v>
      </c>
      <c r="G443" t="s">
        <v>704</v>
      </c>
      <c r="H443" s="1">
        <v>44525</v>
      </c>
      <c r="I443" s="1">
        <v>44527</v>
      </c>
      <c r="J443" s="3">
        <v>4517.2700000000004</v>
      </c>
      <c r="K443" s="4">
        <f t="shared" si="34"/>
        <v>2</v>
      </c>
      <c r="L443" t="str">
        <f t="shared" si="33"/>
        <v>Nov</v>
      </c>
      <c r="M443">
        <f t="shared" si="30"/>
        <v>2021</v>
      </c>
      <c r="N443">
        <f t="shared" si="31"/>
        <v>81</v>
      </c>
    </row>
    <row r="444" spans="1:14" x14ac:dyDescent="0.3">
      <c r="A444" t="s">
        <v>983</v>
      </c>
      <c r="B444" t="s">
        <v>984</v>
      </c>
      <c r="C444" s="1">
        <v>10577</v>
      </c>
      <c r="D444" t="s">
        <v>15</v>
      </c>
      <c r="E444" t="s">
        <v>960</v>
      </c>
      <c r="F444" t="s">
        <v>985</v>
      </c>
      <c r="G444" t="s">
        <v>961</v>
      </c>
      <c r="H444" s="1">
        <v>44420</v>
      </c>
      <c r="I444" s="1">
        <v>44435</v>
      </c>
      <c r="J444" s="3">
        <v>4505.97</v>
      </c>
      <c r="K444" s="4">
        <f t="shared" si="34"/>
        <v>15</v>
      </c>
      <c r="L444" t="str">
        <f t="shared" si="33"/>
        <v>Aug</v>
      </c>
      <c r="M444">
        <f t="shared" ref="M444:M507" si="35">YEAR(H444)</f>
        <v>2021</v>
      </c>
      <c r="N444">
        <f t="shared" ref="N444:N507" si="36">DATEDIF(C444, H444, "Y")</f>
        <v>92</v>
      </c>
    </row>
    <row r="445" spans="1:14" x14ac:dyDescent="0.3">
      <c r="A445" t="s">
        <v>986</v>
      </c>
      <c r="B445" t="s">
        <v>987</v>
      </c>
      <c r="C445" s="1">
        <v>9311</v>
      </c>
      <c r="D445" t="s">
        <v>15</v>
      </c>
      <c r="E445" t="s">
        <v>952</v>
      </c>
      <c r="F445" t="s">
        <v>953</v>
      </c>
      <c r="G445" t="s">
        <v>954</v>
      </c>
      <c r="H445" s="1">
        <v>45246</v>
      </c>
      <c r="I445" s="1">
        <v>45271</v>
      </c>
      <c r="J445" s="3">
        <v>4483.2</v>
      </c>
      <c r="K445" s="4">
        <f t="shared" si="34"/>
        <v>25</v>
      </c>
      <c r="L445" t="str">
        <f t="shared" si="33"/>
        <v>Nov</v>
      </c>
      <c r="M445">
        <f t="shared" si="35"/>
        <v>2023</v>
      </c>
      <c r="N445">
        <f t="shared" si="36"/>
        <v>98</v>
      </c>
    </row>
    <row r="446" spans="1:14" x14ac:dyDescent="0.3">
      <c r="A446" t="s">
        <v>988</v>
      </c>
      <c r="B446" t="s">
        <v>989</v>
      </c>
      <c r="C446" s="1">
        <v>19459</v>
      </c>
      <c r="D446" t="s">
        <v>15</v>
      </c>
      <c r="E446" t="s">
        <v>682</v>
      </c>
      <c r="F446" t="s">
        <v>84</v>
      </c>
      <c r="G446" t="s">
        <v>704</v>
      </c>
      <c r="H446" s="1">
        <v>44772</v>
      </c>
      <c r="I446" s="1">
        <v>44790</v>
      </c>
      <c r="J446" s="3">
        <v>4435.09</v>
      </c>
      <c r="K446" s="4">
        <f t="shared" si="34"/>
        <v>18</v>
      </c>
      <c r="L446" t="str">
        <f t="shared" si="33"/>
        <v>Jul</v>
      </c>
      <c r="M446">
        <f t="shared" si="35"/>
        <v>2022</v>
      </c>
      <c r="N446">
        <f t="shared" si="36"/>
        <v>69</v>
      </c>
    </row>
    <row r="447" spans="1:14" x14ac:dyDescent="0.3">
      <c r="A447" t="s">
        <v>990</v>
      </c>
      <c r="B447" t="s">
        <v>991</v>
      </c>
      <c r="C447" s="1">
        <v>20862</v>
      </c>
      <c r="D447" t="s">
        <v>15</v>
      </c>
      <c r="E447" t="s">
        <v>481</v>
      </c>
      <c r="F447" t="s">
        <v>17</v>
      </c>
      <c r="G447" t="s">
        <v>506</v>
      </c>
      <c r="H447" s="1">
        <v>44445</v>
      </c>
      <c r="I447" s="1">
        <v>44465</v>
      </c>
      <c r="J447" s="3">
        <v>4424.62</v>
      </c>
      <c r="K447" s="4">
        <f t="shared" si="34"/>
        <v>20</v>
      </c>
      <c r="L447" t="str">
        <f t="shared" si="33"/>
        <v>Sep</v>
      </c>
      <c r="M447">
        <f t="shared" si="35"/>
        <v>2021</v>
      </c>
      <c r="N447">
        <f t="shared" si="36"/>
        <v>64</v>
      </c>
    </row>
    <row r="448" spans="1:14" x14ac:dyDescent="0.3">
      <c r="A448" t="s">
        <v>992</v>
      </c>
      <c r="B448" t="s">
        <v>993</v>
      </c>
      <c r="C448" s="1">
        <v>29997</v>
      </c>
      <c r="D448" t="s">
        <v>15</v>
      </c>
      <c r="E448" t="s">
        <v>960</v>
      </c>
      <c r="F448" t="s">
        <v>84</v>
      </c>
      <c r="G448" t="s">
        <v>994</v>
      </c>
      <c r="H448" s="1">
        <v>44481</v>
      </c>
      <c r="I448" s="1">
        <v>44490</v>
      </c>
      <c r="J448" s="3">
        <v>4392.3500000000004</v>
      </c>
      <c r="K448" s="4">
        <f t="shared" si="34"/>
        <v>9</v>
      </c>
      <c r="L448" t="str">
        <f t="shared" si="33"/>
        <v>Oct</v>
      </c>
      <c r="M448">
        <f t="shared" si="35"/>
        <v>2021</v>
      </c>
      <c r="N448">
        <f t="shared" si="36"/>
        <v>39</v>
      </c>
    </row>
    <row r="449" spans="1:14" x14ac:dyDescent="0.3">
      <c r="A449" s="2" t="s">
        <v>995</v>
      </c>
      <c r="B449" t="s">
        <v>996</v>
      </c>
      <c r="C449" s="1">
        <v>9054</v>
      </c>
      <c r="D449" t="s">
        <v>15</v>
      </c>
      <c r="E449" t="s">
        <v>673</v>
      </c>
      <c r="F449" t="s">
        <v>191</v>
      </c>
      <c r="G449" t="s">
        <v>674</v>
      </c>
      <c r="H449" s="1">
        <v>45122</v>
      </c>
      <c r="I449" s="1">
        <v>45127</v>
      </c>
      <c r="J449" s="3">
        <v>4370.53</v>
      </c>
      <c r="K449" s="4">
        <f t="shared" si="34"/>
        <v>5</v>
      </c>
      <c r="L449" t="str">
        <f t="shared" si="33"/>
        <v>Jul</v>
      </c>
      <c r="M449">
        <f t="shared" si="35"/>
        <v>2023</v>
      </c>
      <c r="N449">
        <f t="shared" si="36"/>
        <v>98</v>
      </c>
    </row>
    <row r="450" spans="1:14" x14ac:dyDescent="0.3">
      <c r="A450" t="s">
        <v>997</v>
      </c>
      <c r="B450" t="s">
        <v>998</v>
      </c>
      <c r="C450" s="1">
        <v>23940</v>
      </c>
      <c r="D450" t="s">
        <v>21</v>
      </c>
      <c r="E450" t="s">
        <v>952</v>
      </c>
      <c r="F450" t="s">
        <v>953</v>
      </c>
      <c r="G450" t="s">
        <v>957</v>
      </c>
      <c r="H450" s="1">
        <v>45270</v>
      </c>
      <c r="I450" s="1">
        <v>45284</v>
      </c>
      <c r="J450" s="3">
        <v>4365.59</v>
      </c>
      <c r="K450" s="4">
        <f xml:space="preserve"> I450-H450</f>
        <v>14</v>
      </c>
      <c r="L450" t="str">
        <f t="shared" si="33"/>
        <v>Dec</v>
      </c>
      <c r="M450">
        <f t="shared" si="35"/>
        <v>2023</v>
      </c>
      <c r="N450">
        <f t="shared" si="36"/>
        <v>58</v>
      </c>
    </row>
    <row r="451" spans="1:14" x14ac:dyDescent="0.3">
      <c r="A451" t="s">
        <v>999</v>
      </c>
      <c r="B451" t="s">
        <v>1000</v>
      </c>
      <c r="C451" s="1">
        <v>31181</v>
      </c>
      <c r="D451" t="s">
        <v>21</v>
      </c>
      <c r="E451" t="s">
        <v>936</v>
      </c>
      <c r="F451" t="s">
        <v>937</v>
      </c>
      <c r="G451" t="s">
        <v>938</v>
      </c>
      <c r="H451" s="1">
        <v>44868</v>
      </c>
      <c r="I451" s="1">
        <v>44875</v>
      </c>
      <c r="J451" s="3">
        <v>4352.93</v>
      </c>
      <c r="K451" s="4">
        <f t="shared" ref="K451:K495" si="37" xml:space="preserve"> I451-H451</f>
        <v>7</v>
      </c>
      <c r="L451" t="str">
        <f t="shared" si="33"/>
        <v>Nov</v>
      </c>
      <c r="M451">
        <f t="shared" si="35"/>
        <v>2022</v>
      </c>
      <c r="N451">
        <f t="shared" si="36"/>
        <v>37</v>
      </c>
    </row>
    <row r="452" spans="1:14" x14ac:dyDescent="0.3">
      <c r="A452" t="s">
        <v>1001</v>
      </c>
      <c r="B452" t="s">
        <v>1002</v>
      </c>
      <c r="C452" s="1">
        <v>22415</v>
      </c>
      <c r="D452" t="s">
        <v>21</v>
      </c>
      <c r="E452" t="s">
        <v>922</v>
      </c>
      <c r="F452" t="s">
        <v>683</v>
      </c>
      <c r="G452" t="s">
        <v>930</v>
      </c>
      <c r="H452" s="1">
        <v>44585</v>
      </c>
      <c r="I452" s="1">
        <v>44589</v>
      </c>
      <c r="J452" s="3">
        <v>4341.88</v>
      </c>
      <c r="K452" s="4">
        <f t="shared" si="37"/>
        <v>4</v>
      </c>
      <c r="L452" t="str">
        <f t="shared" si="33"/>
        <v>Jan</v>
      </c>
      <c r="M452">
        <f t="shared" si="35"/>
        <v>2022</v>
      </c>
      <c r="N452">
        <f t="shared" si="36"/>
        <v>60</v>
      </c>
    </row>
    <row r="453" spans="1:14" x14ac:dyDescent="0.3">
      <c r="A453" t="s">
        <v>1003</v>
      </c>
      <c r="B453" t="s">
        <v>1004</v>
      </c>
      <c r="C453" s="1">
        <v>26138</v>
      </c>
      <c r="D453" t="s">
        <v>15</v>
      </c>
      <c r="E453" t="s">
        <v>952</v>
      </c>
      <c r="F453" t="s">
        <v>968</v>
      </c>
      <c r="G453" t="s">
        <v>957</v>
      </c>
      <c r="H453" s="1">
        <v>45428</v>
      </c>
      <c r="I453" s="1">
        <v>45440</v>
      </c>
      <c r="J453" s="3">
        <v>4333.53</v>
      </c>
      <c r="K453" s="4">
        <f t="shared" si="37"/>
        <v>12</v>
      </c>
      <c r="L453" t="str">
        <f t="shared" si="33"/>
        <v>May</v>
      </c>
      <c r="M453">
        <f t="shared" si="35"/>
        <v>2024</v>
      </c>
      <c r="N453">
        <f t="shared" si="36"/>
        <v>52</v>
      </c>
    </row>
    <row r="454" spans="1:14" x14ac:dyDescent="0.3">
      <c r="A454" t="s">
        <v>1005</v>
      </c>
      <c r="B454" t="s">
        <v>1006</v>
      </c>
      <c r="C454" s="1">
        <v>20941</v>
      </c>
      <c r="D454" t="s">
        <v>15</v>
      </c>
      <c r="E454" t="s">
        <v>936</v>
      </c>
      <c r="F454" t="s">
        <v>937</v>
      </c>
      <c r="G454" t="s">
        <v>976</v>
      </c>
      <c r="H454" s="1">
        <v>45354</v>
      </c>
      <c r="I454" s="1">
        <v>45378</v>
      </c>
      <c r="J454" s="3">
        <v>4297.34</v>
      </c>
      <c r="K454" s="4">
        <f t="shared" si="37"/>
        <v>24</v>
      </c>
      <c r="L454" t="str">
        <f t="shared" si="33"/>
        <v>Mar</v>
      </c>
      <c r="M454">
        <f t="shared" si="35"/>
        <v>2024</v>
      </c>
      <c r="N454">
        <f t="shared" si="36"/>
        <v>66</v>
      </c>
    </row>
    <row r="455" spans="1:14" x14ac:dyDescent="0.3">
      <c r="A455" t="s">
        <v>1007</v>
      </c>
      <c r="B455" t="s">
        <v>1008</v>
      </c>
      <c r="C455" s="1">
        <v>29717</v>
      </c>
      <c r="D455" t="s">
        <v>21</v>
      </c>
      <c r="E455" t="s">
        <v>922</v>
      </c>
      <c r="F455" t="s">
        <v>683</v>
      </c>
      <c r="G455" t="s">
        <v>933</v>
      </c>
      <c r="H455" s="1">
        <v>45150</v>
      </c>
      <c r="I455" s="1">
        <v>45177</v>
      </c>
      <c r="J455" s="3">
        <v>4262.2</v>
      </c>
      <c r="K455" s="4">
        <f t="shared" si="37"/>
        <v>27</v>
      </c>
      <c r="L455" t="str">
        <f t="shared" si="33"/>
        <v>Aug</v>
      </c>
      <c r="M455">
        <f t="shared" si="35"/>
        <v>2023</v>
      </c>
      <c r="N455">
        <f t="shared" si="36"/>
        <v>42</v>
      </c>
    </row>
    <row r="456" spans="1:14" x14ac:dyDescent="0.3">
      <c r="A456" t="s">
        <v>1009</v>
      </c>
      <c r="B456" t="s">
        <v>1010</v>
      </c>
      <c r="C456" s="1">
        <v>38384</v>
      </c>
      <c r="D456" t="s">
        <v>15</v>
      </c>
      <c r="E456" t="s">
        <v>922</v>
      </c>
      <c r="F456" t="s">
        <v>84</v>
      </c>
      <c r="G456" t="s">
        <v>930</v>
      </c>
      <c r="H456" s="1">
        <v>45331</v>
      </c>
      <c r="I456" s="1">
        <v>45349</v>
      </c>
      <c r="J456" s="3">
        <v>4212.9399999999996</v>
      </c>
      <c r="K456" s="4">
        <f t="shared" si="37"/>
        <v>18</v>
      </c>
      <c r="L456" t="str">
        <f t="shared" si="33"/>
        <v>Feb</v>
      </c>
      <c r="M456">
        <f t="shared" si="35"/>
        <v>2024</v>
      </c>
      <c r="N456">
        <f t="shared" si="36"/>
        <v>19</v>
      </c>
    </row>
    <row r="457" spans="1:14" x14ac:dyDescent="0.3">
      <c r="A457" t="s">
        <v>1011</v>
      </c>
      <c r="B457" t="s">
        <v>1012</v>
      </c>
      <c r="C457" s="1">
        <v>24838</v>
      </c>
      <c r="D457" t="s">
        <v>15</v>
      </c>
      <c r="E457" t="s">
        <v>657</v>
      </c>
      <c r="F457" t="s">
        <v>658</v>
      </c>
      <c r="G457" t="s">
        <v>659</v>
      </c>
      <c r="H457" s="1">
        <v>44689</v>
      </c>
      <c r="I457" s="1">
        <v>44713</v>
      </c>
      <c r="J457" s="3">
        <v>4177.09</v>
      </c>
      <c r="K457" s="4">
        <f t="shared" si="37"/>
        <v>24</v>
      </c>
      <c r="L457" t="str">
        <f t="shared" si="33"/>
        <v>May</v>
      </c>
      <c r="M457">
        <f t="shared" si="35"/>
        <v>2022</v>
      </c>
      <c r="N457">
        <f t="shared" si="36"/>
        <v>54</v>
      </c>
    </row>
    <row r="458" spans="1:14" x14ac:dyDescent="0.3">
      <c r="A458" t="s">
        <v>1013</v>
      </c>
      <c r="B458" t="s">
        <v>135</v>
      </c>
      <c r="C458" s="1">
        <v>19775</v>
      </c>
      <c r="D458" t="s">
        <v>21</v>
      </c>
      <c r="E458" t="s">
        <v>952</v>
      </c>
      <c r="F458" t="s">
        <v>968</v>
      </c>
      <c r="G458" t="s">
        <v>957</v>
      </c>
      <c r="H458" s="1">
        <v>45203</v>
      </c>
      <c r="I458" s="1">
        <v>45214</v>
      </c>
      <c r="J458" s="3">
        <v>4166.6899999999996</v>
      </c>
      <c r="K458" s="4">
        <f t="shared" si="37"/>
        <v>11</v>
      </c>
      <c r="L458" t="str">
        <f t="shared" si="33"/>
        <v>Oct</v>
      </c>
      <c r="M458">
        <f t="shared" si="35"/>
        <v>2023</v>
      </c>
      <c r="N458">
        <f t="shared" si="36"/>
        <v>69</v>
      </c>
    </row>
    <row r="459" spans="1:14" x14ac:dyDescent="0.3">
      <c r="A459" t="s">
        <v>1014</v>
      </c>
      <c r="B459" t="s">
        <v>1015</v>
      </c>
      <c r="C459" s="1">
        <v>11615</v>
      </c>
      <c r="D459" t="s">
        <v>21</v>
      </c>
      <c r="E459" t="s">
        <v>922</v>
      </c>
      <c r="F459" t="s">
        <v>683</v>
      </c>
      <c r="G459" t="s">
        <v>933</v>
      </c>
      <c r="H459" s="1">
        <v>44876</v>
      </c>
      <c r="I459" s="1">
        <v>44893</v>
      </c>
      <c r="J459" s="3">
        <v>4122.78</v>
      </c>
      <c r="K459" s="4">
        <f t="shared" si="37"/>
        <v>17</v>
      </c>
      <c r="L459" t="str">
        <f t="shared" si="33"/>
        <v>Nov</v>
      </c>
      <c r="M459">
        <f t="shared" si="35"/>
        <v>2022</v>
      </c>
      <c r="N459">
        <f t="shared" si="36"/>
        <v>91</v>
      </c>
    </row>
    <row r="460" spans="1:14" x14ac:dyDescent="0.3">
      <c r="A460" t="s">
        <v>1016</v>
      </c>
      <c r="B460" t="s">
        <v>1017</v>
      </c>
      <c r="C460" s="1">
        <v>30508</v>
      </c>
      <c r="D460" t="s">
        <v>21</v>
      </c>
      <c r="E460" t="s">
        <v>960</v>
      </c>
      <c r="F460" t="s">
        <v>985</v>
      </c>
      <c r="G460" t="s">
        <v>1018</v>
      </c>
      <c r="H460" s="1">
        <v>45396</v>
      </c>
      <c r="I460" s="1">
        <v>45408</v>
      </c>
      <c r="J460" s="3">
        <v>4107.13</v>
      </c>
      <c r="K460" s="4">
        <f t="shared" si="37"/>
        <v>12</v>
      </c>
      <c r="L460" t="str">
        <f t="shared" si="33"/>
        <v>Apr</v>
      </c>
      <c r="M460">
        <f t="shared" si="35"/>
        <v>2024</v>
      </c>
      <c r="N460">
        <f t="shared" si="36"/>
        <v>40</v>
      </c>
    </row>
    <row r="461" spans="1:14" x14ac:dyDescent="0.3">
      <c r="A461" t="s">
        <v>1019</v>
      </c>
      <c r="B461" t="s">
        <v>1020</v>
      </c>
      <c r="C461" s="1">
        <v>26930</v>
      </c>
      <c r="D461" t="s">
        <v>15</v>
      </c>
      <c r="E461" t="s">
        <v>922</v>
      </c>
      <c r="F461" t="s">
        <v>683</v>
      </c>
      <c r="G461" t="s">
        <v>933</v>
      </c>
      <c r="H461" s="1">
        <v>45211</v>
      </c>
      <c r="I461" s="1">
        <v>45228</v>
      </c>
      <c r="J461" s="3">
        <v>4097.92</v>
      </c>
      <c r="K461" s="4">
        <f t="shared" si="37"/>
        <v>17</v>
      </c>
      <c r="L461" t="str">
        <f t="shared" si="33"/>
        <v>Oct</v>
      </c>
      <c r="M461">
        <f t="shared" si="35"/>
        <v>2023</v>
      </c>
      <c r="N461">
        <f t="shared" si="36"/>
        <v>50</v>
      </c>
    </row>
    <row r="462" spans="1:14" x14ac:dyDescent="0.3">
      <c r="A462" t="s">
        <v>1021</v>
      </c>
      <c r="B462" t="s">
        <v>1022</v>
      </c>
      <c r="C462" s="1">
        <v>34973</v>
      </c>
      <c r="D462" t="s">
        <v>15</v>
      </c>
      <c r="E462" t="s">
        <v>922</v>
      </c>
      <c r="F462" t="s">
        <v>84</v>
      </c>
      <c r="G462" t="s">
        <v>933</v>
      </c>
      <c r="H462" s="1">
        <v>44796</v>
      </c>
      <c r="I462" s="1">
        <v>44813</v>
      </c>
      <c r="J462" s="3">
        <v>4097.88</v>
      </c>
      <c r="K462" s="4">
        <f t="shared" si="37"/>
        <v>17</v>
      </c>
      <c r="L462" t="str">
        <f t="shared" si="33"/>
        <v>Aug</v>
      </c>
      <c r="M462">
        <f t="shared" si="35"/>
        <v>2022</v>
      </c>
      <c r="N462">
        <f t="shared" si="36"/>
        <v>26</v>
      </c>
    </row>
    <row r="463" spans="1:14" x14ac:dyDescent="0.3">
      <c r="A463" t="s">
        <v>1023</v>
      </c>
      <c r="B463" t="s">
        <v>1024</v>
      </c>
      <c r="C463" s="1">
        <v>26835</v>
      </c>
      <c r="D463" t="s">
        <v>21</v>
      </c>
      <c r="E463" t="s">
        <v>657</v>
      </c>
      <c r="F463" t="s">
        <v>191</v>
      </c>
      <c r="G463" t="s">
        <v>659</v>
      </c>
      <c r="H463" s="1">
        <v>44548</v>
      </c>
      <c r="I463" s="1">
        <v>44577</v>
      </c>
      <c r="J463" s="3">
        <v>4090.35</v>
      </c>
      <c r="K463" s="4">
        <f t="shared" si="37"/>
        <v>29</v>
      </c>
      <c r="L463" t="str">
        <f t="shared" si="33"/>
        <v>Dec</v>
      </c>
      <c r="M463">
        <f t="shared" si="35"/>
        <v>2021</v>
      </c>
      <c r="N463">
        <f t="shared" si="36"/>
        <v>48</v>
      </c>
    </row>
    <row r="464" spans="1:14" x14ac:dyDescent="0.3">
      <c r="A464" t="s">
        <v>1025</v>
      </c>
      <c r="B464" t="s">
        <v>1026</v>
      </c>
      <c r="C464" s="1">
        <v>33248</v>
      </c>
      <c r="D464" t="s">
        <v>15</v>
      </c>
      <c r="E464" t="s">
        <v>952</v>
      </c>
      <c r="F464" t="s">
        <v>968</v>
      </c>
      <c r="G464" t="s">
        <v>954</v>
      </c>
      <c r="H464" s="1">
        <v>44789</v>
      </c>
      <c r="I464" s="1">
        <v>44806</v>
      </c>
      <c r="J464" s="3">
        <v>4081.83</v>
      </c>
      <c r="K464" s="4">
        <f t="shared" si="37"/>
        <v>17</v>
      </c>
      <c r="L464" t="str">
        <f t="shared" si="33"/>
        <v>Aug</v>
      </c>
      <c r="M464">
        <f t="shared" si="35"/>
        <v>2022</v>
      </c>
      <c r="N464">
        <f t="shared" si="36"/>
        <v>31</v>
      </c>
    </row>
    <row r="465" spans="1:14" x14ac:dyDescent="0.3">
      <c r="A465" t="s">
        <v>1027</v>
      </c>
      <c r="B465" t="s">
        <v>1028</v>
      </c>
      <c r="C465" s="1">
        <v>31664</v>
      </c>
      <c r="D465" t="s">
        <v>21</v>
      </c>
      <c r="E465" t="s">
        <v>960</v>
      </c>
      <c r="F465" t="s">
        <v>985</v>
      </c>
      <c r="G465" t="s">
        <v>961</v>
      </c>
      <c r="H465" s="1">
        <v>45238</v>
      </c>
      <c r="I465" s="1">
        <v>45245</v>
      </c>
      <c r="J465" s="3">
        <v>4079.22</v>
      </c>
      <c r="K465" s="4">
        <f t="shared" si="37"/>
        <v>7</v>
      </c>
      <c r="L465" t="str">
        <f t="shared" si="33"/>
        <v>Nov</v>
      </c>
      <c r="M465">
        <f t="shared" si="35"/>
        <v>2023</v>
      </c>
      <c r="N465">
        <f t="shared" si="36"/>
        <v>37</v>
      </c>
    </row>
    <row r="466" spans="1:14" x14ac:dyDescent="0.3">
      <c r="A466" t="s">
        <v>1029</v>
      </c>
      <c r="B466" t="s">
        <v>1030</v>
      </c>
      <c r="C466" s="1">
        <v>21377</v>
      </c>
      <c r="D466" t="s">
        <v>15</v>
      </c>
      <c r="E466" t="s">
        <v>657</v>
      </c>
      <c r="F466" t="s">
        <v>658</v>
      </c>
      <c r="G466" t="s">
        <v>699</v>
      </c>
      <c r="H466" s="1">
        <v>44952</v>
      </c>
      <c r="I466" s="1">
        <v>44975</v>
      </c>
      <c r="J466" s="3">
        <v>4075.79</v>
      </c>
      <c r="K466" s="4">
        <f t="shared" si="37"/>
        <v>23</v>
      </c>
      <c r="L466" t="str">
        <f t="shared" si="33"/>
        <v>Jan</v>
      </c>
      <c r="M466">
        <f t="shared" si="35"/>
        <v>2023</v>
      </c>
      <c r="N466">
        <f t="shared" si="36"/>
        <v>64</v>
      </c>
    </row>
    <row r="467" spans="1:14" x14ac:dyDescent="0.3">
      <c r="A467" t="s">
        <v>1031</v>
      </c>
      <c r="B467" t="s">
        <v>1032</v>
      </c>
      <c r="C467" s="1">
        <v>23857</v>
      </c>
      <c r="D467" t="s">
        <v>15</v>
      </c>
      <c r="E467" t="s">
        <v>936</v>
      </c>
      <c r="F467" t="s">
        <v>937</v>
      </c>
      <c r="G467" t="s">
        <v>938</v>
      </c>
      <c r="H467" s="1">
        <v>45049</v>
      </c>
      <c r="I467" s="1">
        <v>45055</v>
      </c>
      <c r="J467" s="3">
        <v>4063</v>
      </c>
      <c r="K467" s="4">
        <f t="shared" si="37"/>
        <v>6</v>
      </c>
      <c r="L467" t="str">
        <f t="shared" si="33"/>
        <v>May</v>
      </c>
      <c r="M467">
        <f t="shared" si="35"/>
        <v>2023</v>
      </c>
      <c r="N467">
        <f t="shared" si="36"/>
        <v>58</v>
      </c>
    </row>
    <row r="468" spans="1:14" x14ac:dyDescent="0.3">
      <c r="A468" t="s">
        <v>1033</v>
      </c>
      <c r="B468" t="s">
        <v>1034</v>
      </c>
      <c r="C468" s="1">
        <v>39069</v>
      </c>
      <c r="D468" t="s">
        <v>21</v>
      </c>
      <c r="E468" t="s">
        <v>673</v>
      </c>
      <c r="F468" t="s">
        <v>191</v>
      </c>
      <c r="G468" t="s">
        <v>677</v>
      </c>
      <c r="H468" s="1">
        <v>44778</v>
      </c>
      <c r="I468" s="1">
        <v>44793</v>
      </c>
      <c r="J468" s="3">
        <v>4046.71</v>
      </c>
      <c r="K468" s="4">
        <f t="shared" si="37"/>
        <v>15</v>
      </c>
      <c r="L468" t="str">
        <f t="shared" si="33"/>
        <v>Aug</v>
      </c>
      <c r="M468">
        <f t="shared" si="35"/>
        <v>2022</v>
      </c>
      <c r="N468">
        <f t="shared" si="36"/>
        <v>15</v>
      </c>
    </row>
    <row r="469" spans="1:14" x14ac:dyDescent="0.3">
      <c r="A469" t="s">
        <v>1035</v>
      </c>
      <c r="B469" t="s">
        <v>1036</v>
      </c>
      <c r="C469" s="1">
        <v>18257</v>
      </c>
      <c r="D469" t="s">
        <v>15</v>
      </c>
      <c r="E469" t="s">
        <v>922</v>
      </c>
      <c r="F469" t="s">
        <v>84</v>
      </c>
      <c r="G469" t="s">
        <v>923</v>
      </c>
      <c r="H469" s="1">
        <v>44846</v>
      </c>
      <c r="I469" s="1">
        <v>44855</v>
      </c>
      <c r="J469" s="3">
        <v>4043.93</v>
      </c>
      <c r="K469" s="4">
        <f t="shared" si="37"/>
        <v>9</v>
      </c>
      <c r="L469" t="str">
        <f t="shared" si="33"/>
        <v>Oct</v>
      </c>
      <c r="M469">
        <f t="shared" si="35"/>
        <v>2022</v>
      </c>
      <c r="N469">
        <f t="shared" si="36"/>
        <v>72</v>
      </c>
    </row>
    <row r="470" spans="1:14" x14ac:dyDescent="0.3">
      <c r="A470" t="s">
        <v>1037</v>
      </c>
      <c r="B470" t="s">
        <v>1038</v>
      </c>
      <c r="C470" s="1">
        <v>39982</v>
      </c>
      <c r="D470" t="s">
        <v>15</v>
      </c>
      <c r="E470" t="s">
        <v>936</v>
      </c>
      <c r="F470" t="s">
        <v>286</v>
      </c>
      <c r="G470" t="s">
        <v>938</v>
      </c>
      <c r="H470" s="1">
        <v>44459</v>
      </c>
      <c r="I470" s="1">
        <v>44469</v>
      </c>
      <c r="J470" s="3">
        <v>4039.92</v>
      </c>
      <c r="K470" s="4">
        <f t="shared" si="37"/>
        <v>10</v>
      </c>
      <c r="L470" t="str">
        <f t="shared" si="33"/>
        <v>Sep</v>
      </c>
      <c r="M470">
        <f t="shared" si="35"/>
        <v>2021</v>
      </c>
      <c r="N470">
        <f t="shared" si="36"/>
        <v>12</v>
      </c>
    </row>
    <row r="471" spans="1:14" x14ac:dyDescent="0.3">
      <c r="A471" t="s">
        <v>1039</v>
      </c>
      <c r="B471" t="s">
        <v>1040</v>
      </c>
      <c r="C471" s="1">
        <v>39095</v>
      </c>
      <c r="D471" t="s">
        <v>15</v>
      </c>
      <c r="E471" t="s">
        <v>952</v>
      </c>
      <c r="F471" t="s">
        <v>953</v>
      </c>
      <c r="G471" t="s">
        <v>969</v>
      </c>
      <c r="H471" s="1">
        <v>45468</v>
      </c>
      <c r="I471" s="1">
        <v>45475</v>
      </c>
      <c r="J471" s="3">
        <v>4025.97</v>
      </c>
      <c r="K471" s="4">
        <f t="shared" si="37"/>
        <v>7</v>
      </c>
      <c r="L471" t="str">
        <f t="shared" si="33"/>
        <v>Jun</v>
      </c>
      <c r="M471">
        <f t="shared" si="35"/>
        <v>2024</v>
      </c>
      <c r="N471">
        <f t="shared" si="36"/>
        <v>17</v>
      </c>
    </row>
    <row r="472" spans="1:14" x14ac:dyDescent="0.3">
      <c r="A472" t="s">
        <v>1041</v>
      </c>
      <c r="B472" t="s">
        <v>1042</v>
      </c>
      <c r="C472" s="1">
        <v>32874</v>
      </c>
      <c r="D472" t="s">
        <v>15</v>
      </c>
      <c r="E472" t="s">
        <v>922</v>
      </c>
      <c r="F472" t="s">
        <v>84</v>
      </c>
      <c r="G472" t="s">
        <v>930</v>
      </c>
      <c r="H472" s="1">
        <v>44772</v>
      </c>
      <c r="I472" s="1">
        <v>44801</v>
      </c>
      <c r="J472" s="3">
        <v>4000.32</v>
      </c>
      <c r="K472" s="4">
        <f t="shared" si="37"/>
        <v>29</v>
      </c>
      <c r="L472" t="str">
        <f t="shared" si="33"/>
        <v>Jul</v>
      </c>
      <c r="M472">
        <f t="shared" si="35"/>
        <v>2022</v>
      </c>
      <c r="N472">
        <f t="shared" si="36"/>
        <v>32</v>
      </c>
    </row>
    <row r="473" spans="1:14" x14ac:dyDescent="0.3">
      <c r="A473" t="s">
        <v>1043</v>
      </c>
      <c r="B473" t="s">
        <v>1044</v>
      </c>
      <c r="C473" s="1">
        <v>19593</v>
      </c>
      <c r="D473" t="s">
        <v>15</v>
      </c>
      <c r="E473" t="s">
        <v>922</v>
      </c>
      <c r="F473" t="s">
        <v>683</v>
      </c>
      <c r="G473" t="s">
        <v>930</v>
      </c>
      <c r="H473" s="1">
        <v>45235</v>
      </c>
      <c r="I473" s="1">
        <v>45257</v>
      </c>
      <c r="J473" s="3">
        <v>3991.94</v>
      </c>
      <c r="K473" s="4">
        <f t="shared" si="37"/>
        <v>22</v>
      </c>
      <c r="L473" t="str">
        <f t="shared" si="33"/>
        <v>Nov</v>
      </c>
      <c r="M473">
        <f t="shared" si="35"/>
        <v>2023</v>
      </c>
      <c r="N473">
        <f t="shared" si="36"/>
        <v>70</v>
      </c>
    </row>
    <row r="474" spans="1:14" x14ac:dyDescent="0.3">
      <c r="A474" t="s">
        <v>1045</v>
      </c>
      <c r="B474" t="s">
        <v>1046</v>
      </c>
      <c r="C474" s="1">
        <v>32053</v>
      </c>
      <c r="D474" t="s">
        <v>21</v>
      </c>
      <c r="E474" t="s">
        <v>922</v>
      </c>
      <c r="F474" t="s">
        <v>683</v>
      </c>
      <c r="G474" t="s">
        <v>923</v>
      </c>
      <c r="H474" s="1">
        <v>45159</v>
      </c>
      <c r="I474" s="1">
        <v>45162</v>
      </c>
      <c r="J474" s="3">
        <v>3983.04</v>
      </c>
      <c r="K474" s="4">
        <f t="shared" si="37"/>
        <v>3</v>
      </c>
      <c r="L474" t="str">
        <f t="shared" si="33"/>
        <v>Aug</v>
      </c>
      <c r="M474">
        <f t="shared" si="35"/>
        <v>2023</v>
      </c>
      <c r="N474">
        <f t="shared" si="36"/>
        <v>35</v>
      </c>
    </row>
    <row r="475" spans="1:14" x14ac:dyDescent="0.3">
      <c r="A475" t="s">
        <v>1047</v>
      </c>
      <c r="B475" t="s">
        <v>1048</v>
      </c>
      <c r="C475" s="1">
        <v>42477</v>
      </c>
      <c r="D475" t="s">
        <v>21</v>
      </c>
      <c r="E475" t="s">
        <v>936</v>
      </c>
      <c r="F475" t="s">
        <v>937</v>
      </c>
      <c r="G475" t="s">
        <v>938</v>
      </c>
      <c r="H475" s="1">
        <v>45010</v>
      </c>
      <c r="I475" s="1">
        <v>45020</v>
      </c>
      <c r="J475" s="3">
        <v>3981.69</v>
      </c>
      <c r="K475" s="4">
        <f t="shared" si="37"/>
        <v>10</v>
      </c>
      <c r="L475" t="str">
        <f t="shared" si="33"/>
        <v>Mar</v>
      </c>
      <c r="M475">
        <f t="shared" si="35"/>
        <v>2023</v>
      </c>
      <c r="N475">
        <f t="shared" si="36"/>
        <v>6</v>
      </c>
    </row>
    <row r="476" spans="1:14" x14ac:dyDescent="0.3">
      <c r="A476" t="s">
        <v>1049</v>
      </c>
      <c r="B476" t="s">
        <v>1050</v>
      </c>
      <c r="C476" s="1">
        <v>42486</v>
      </c>
      <c r="D476" t="s">
        <v>15</v>
      </c>
      <c r="E476" t="s">
        <v>481</v>
      </c>
      <c r="F476" t="s">
        <v>17</v>
      </c>
      <c r="G476" t="s">
        <v>506</v>
      </c>
      <c r="H476" s="1">
        <v>45251</v>
      </c>
      <c r="I476" s="1">
        <v>45259</v>
      </c>
      <c r="J476" s="3">
        <v>3911.74</v>
      </c>
      <c r="K476" s="4">
        <f t="shared" si="37"/>
        <v>8</v>
      </c>
      <c r="L476" t="str">
        <f t="shared" si="33"/>
        <v>Nov</v>
      </c>
      <c r="M476">
        <f t="shared" si="35"/>
        <v>2023</v>
      </c>
      <c r="N476">
        <f t="shared" si="36"/>
        <v>7</v>
      </c>
    </row>
    <row r="477" spans="1:14" x14ac:dyDescent="0.3">
      <c r="A477" t="s">
        <v>1051</v>
      </c>
      <c r="B477" t="s">
        <v>1052</v>
      </c>
      <c r="C477" s="1">
        <v>21702</v>
      </c>
      <c r="D477" t="s">
        <v>21</v>
      </c>
      <c r="E477" t="s">
        <v>657</v>
      </c>
      <c r="F477" t="s">
        <v>17</v>
      </c>
      <c r="G477" t="s">
        <v>659</v>
      </c>
      <c r="H477" s="1">
        <v>44627</v>
      </c>
      <c r="I477" s="1">
        <v>44648</v>
      </c>
      <c r="J477" s="3">
        <v>3908.72</v>
      </c>
      <c r="K477" s="4">
        <f t="shared" si="37"/>
        <v>21</v>
      </c>
      <c r="L477" t="str">
        <f t="shared" si="33"/>
        <v>Mar</v>
      </c>
      <c r="M477">
        <f t="shared" si="35"/>
        <v>2022</v>
      </c>
      <c r="N477">
        <f t="shared" si="36"/>
        <v>62</v>
      </c>
    </row>
    <row r="478" spans="1:14" x14ac:dyDescent="0.3">
      <c r="A478" t="s">
        <v>1053</v>
      </c>
      <c r="B478" t="s">
        <v>1054</v>
      </c>
      <c r="C478" s="1">
        <v>21228</v>
      </c>
      <c r="D478" t="s">
        <v>15</v>
      </c>
      <c r="E478" t="s">
        <v>682</v>
      </c>
      <c r="F478" t="s">
        <v>84</v>
      </c>
      <c r="G478" t="s">
        <v>684</v>
      </c>
      <c r="H478" s="1">
        <v>44892</v>
      </c>
      <c r="I478" s="1">
        <v>44905</v>
      </c>
      <c r="J478" s="3">
        <v>3872.95</v>
      </c>
      <c r="K478" s="4">
        <f t="shared" si="37"/>
        <v>13</v>
      </c>
      <c r="L478" t="str">
        <f t="shared" si="33"/>
        <v>Nov</v>
      </c>
      <c r="M478">
        <f t="shared" si="35"/>
        <v>2022</v>
      </c>
      <c r="N478">
        <f t="shared" si="36"/>
        <v>64</v>
      </c>
    </row>
    <row r="479" spans="1:14" x14ac:dyDescent="0.3">
      <c r="A479" t="s">
        <v>1055</v>
      </c>
      <c r="B479" t="s">
        <v>1056</v>
      </c>
      <c r="C479" s="1">
        <v>15443</v>
      </c>
      <c r="D479" t="s">
        <v>21</v>
      </c>
      <c r="E479" t="s">
        <v>960</v>
      </c>
      <c r="F479" t="s">
        <v>84</v>
      </c>
      <c r="G479" t="s">
        <v>961</v>
      </c>
      <c r="H479" s="1">
        <v>44735</v>
      </c>
      <c r="I479" s="1">
        <v>44755</v>
      </c>
      <c r="J479" s="3">
        <v>3834.43</v>
      </c>
      <c r="K479" s="4">
        <f t="shared" si="37"/>
        <v>20</v>
      </c>
      <c r="L479" t="str">
        <f t="shared" si="33"/>
        <v>Jun</v>
      </c>
      <c r="M479">
        <f t="shared" si="35"/>
        <v>2022</v>
      </c>
      <c r="N479">
        <f t="shared" si="36"/>
        <v>80</v>
      </c>
    </row>
    <row r="480" spans="1:14" x14ac:dyDescent="0.3">
      <c r="A480" t="s">
        <v>1057</v>
      </c>
      <c r="B480" t="s">
        <v>1058</v>
      </c>
      <c r="C480" s="1">
        <v>35231</v>
      </c>
      <c r="D480" t="s">
        <v>15</v>
      </c>
      <c r="E480" t="s">
        <v>936</v>
      </c>
      <c r="F480" t="s">
        <v>286</v>
      </c>
      <c r="G480" t="s">
        <v>945</v>
      </c>
      <c r="H480" s="1">
        <v>44400</v>
      </c>
      <c r="I480" s="1">
        <v>44402</v>
      </c>
      <c r="J480" s="3">
        <v>3799.87</v>
      </c>
      <c r="K480" s="4">
        <f t="shared" si="37"/>
        <v>2</v>
      </c>
      <c r="L480" t="str">
        <f t="shared" si="33"/>
        <v>Jul</v>
      </c>
      <c r="M480">
        <f t="shared" si="35"/>
        <v>2021</v>
      </c>
      <c r="N480">
        <f t="shared" si="36"/>
        <v>25</v>
      </c>
    </row>
    <row r="481" spans="1:14" x14ac:dyDescent="0.3">
      <c r="A481" t="s">
        <v>1059</v>
      </c>
      <c r="B481" t="s">
        <v>1060</v>
      </c>
      <c r="C481" s="1">
        <v>9845</v>
      </c>
      <c r="D481" t="s">
        <v>21</v>
      </c>
      <c r="E481" t="s">
        <v>960</v>
      </c>
      <c r="F481" t="s">
        <v>985</v>
      </c>
      <c r="G481" t="s">
        <v>994</v>
      </c>
      <c r="H481" s="1">
        <v>45043</v>
      </c>
      <c r="I481" s="1">
        <v>45069</v>
      </c>
      <c r="J481" s="3">
        <v>3769.91</v>
      </c>
      <c r="K481" s="4">
        <f t="shared" si="37"/>
        <v>26</v>
      </c>
      <c r="L481" t="str">
        <f t="shared" si="33"/>
        <v>Apr</v>
      </c>
      <c r="M481">
        <f t="shared" si="35"/>
        <v>2023</v>
      </c>
      <c r="N481">
        <f t="shared" si="36"/>
        <v>96</v>
      </c>
    </row>
    <row r="482" spans="1:14" x14ac:dyDescent="0.3">
      <c r="A482" t="s">
        <v>1061</v>
      </c>
      <c r="B482" t="s">
        <v>1062</v>
      </c>
      <c r="C482" s="1">
        <v>31303</v>
      </c>
      <c r="D482" t="s">
        <v>21</v>
      </c>
      <c r="E482" t="s">
        <v>481</v>
      </c>
      <c r="F482" t="s">
        <v>84</v>
      </c>
      <c r="G482" t="s">
        <v>482</v>
      </c>
      <c r="H482" s="1">
        <v>45290</v>
      </c>
      <c r="I482" s="1">
        <v>45303</v>
      </c>
      <c r="J482" s="3">
        <v>3693.85</v>
      </c>
      <c r="K482" s="4">
        <f t="shared" si="37"/>
        <v>13</v>
      </c>
      <c r="L482" t="str">
        <f t="shared" si="33"/>
        <v>Dec</v>
      </c>
      <c r="M482">
        <f t="shared" si="35"/>
        <v>2023</v>
      </c>
      <c r="N482">
        <f t="shared" si="36"/>
        <v>38</v>
      </c>
    </row>
    <row r="483" spans="1:14" x14ac:dyDescent="0.3">
      <c r="A483" t="s">
        <v>1063</v>
      </c>
      <c r="B483" t="s">
        <v>1064</v>
      </c>
      <c r="C483" s="1">
        <v>20440</v>
      </c>
      <c r="D483" t="s">
        <v>15</v>
      </c>
      <c r="E483" t="s">
        <v>960</v>
      </c>
      <c r="F483" t="s">
        <v>985</v>
      </c>
      <c r="G483" t="s">
        <v>1018</v>
      </c>
      <c r="H483" s="1">
        <v>45392</v>
      </c>
      <c r="I483" s="1">
        <v>45394</v>
      </c>
      <c r="J483" s="3">
        <v>3686.05</v>
      </c>
      <c r="K483" s="4">
        <f t="shared" si="37"/>
        <v>2</v>
      </c>
      <c r="L483" t="str">
        <f t="shared" si="33"/>
        <v>Apr</v>
      </c>
      <c r="M483">
        <f t="shared" si="35"/>
        <v>2024</v>
      </c>
      <c r="N483">
        <f t="shared" si="36"/>
        <v>68</v>
      </c>
    </row>
    <row r="484" spans="1:14" x14ac:dyDescent="0.3">
      <c r="A484" t="s">
        <v>1065</v>
      </c>
      <c r="B484" t="s">
        <v>1066</v>
      </c>
      <c r="C484" s="1">
        <v>16067</v>
      </c>
      <c r="D484" t="s">
        <v>15</v>
      </c>
      <c r="E484" t="s">
        <v>657</v>
      </c>
      <c r="F484" t="s">
        <v>191</v>
      </c>
      <c r="G484" t="s">
        <v>659</v>
      </c>
      <c r="H484" s="1">
        <v>44772</v>
      </c>
      <c r="I484" s="1">
        <v>44795</v>
      </c>
      <c r="J484" s="3">
        <v>3685.88</v>
      </c>
      <c r="K484" s="4">
        <f t="shared" si="37"/>
        <v>23</v>
      </c>
      <c r="L484" t="str">
        <f t="shared" si="33"/>
        <v>Jul</v>
      </c>
      <c r="M484">
        <f t="shared" si="35"/>
        <v>2022</v>
      </c>
      <c r="N484">
        <f t="shared" si="36"/>
        <v>78</v>
      </c>
    </row>
    <row r="485" spans="1:14" x14ac:dyDescent="0.3">
      <c r="A485" t="s">
        <v>1067</v>
      </c>
      <c r="B485" t="s">
        <v>1068</v>
      </c>
      <c r="C485" s="1">
        <v>10828</v>
      </c>
      <c r="D485" t="s">
        <v>21</v>
      </c>
      <c r="E485" t="s">
        <v>936</v>
      </c>
      <c r="F485" t="s">
        <v>286</v>
      </c>
      <c r="G485" t="s">
        <v>938</v>
      </c>
      <c r="H485" s="1">
        <v>45467</v>
      </c>
      <c r="I485" s="1">
        <v>45471</v>
      </c>
      <c r="J485" s="3">
        <v>3618.68</v>
      </c>
      <c r="K485" s="4">
        <f t="shared" si="37"/>
        <v>4</v>
      </c>
      <c r="L485" t="str">
        <f t="shared" si="33"/>
        <v>Jun</v>
      </c>
      <c r="M485">
        <f t="shared" si="35"/>
        <v>2024</v>
      </c>
      <c r="N485">
        <f t="shared" si="36"/>
        <v>94</v>
      </c>
    </row>
    <row r="486" spans="1:14" x14ac:dyDescent="0.3">
      <c r="A486" t="s">
        <v>1069</v>
      </c>
      <c r="B486" t="s">
        <v>1070</v>
      </c>
      <c r="C486" s="1">
        <v>25116</v>
      </c>
      <c r="D486" t="s">
        <v>15</v>
      </c>
      <c r="E486" t="s">
        <v>960</v>
      </c>
      <c r="F486" t="s">
        <v>84</v>
      </c>
      <c r="G486" t="s">
        <v>961</v>
      </c>
      <c r="H486" s="1">
        <v>44517</v>
      </c>
      <c r="I486" s="1">
        <v>44543</v>
      </c>
      <c r="J486" s="3">
        <v>3591.87</v>
      </c>
      <c r="K486" s="4">
        <f t="shared" si="37"/>
        <v>26</v>
      </c>
      <c r="L486" t="str">
        <f t="shared" si="33"/>
        <v>Nov</v>
      </c>
      <c r="M486">
        <f t="shared" si="35"/>
        <v>2021</v>
      </c>
      <c r="N486">
        <f t="shared" si="36"/>
        <v>53</v>
      </c>
    </row>
    <row r="487" spans="1:14" x14ac:dyDescent="0.3">
      <c r="A487" t="s">
        <v>1071</v>
      </c>
      <c r="B487" t="s">
        <v>1072</v>
      </c>
      <c r="C487" s="1">
        <v>37919</v>
      </c>
      <c r="D487" t="s">
        <v>21</v>
      </c>
      <c r="E487" t="s">
        <v>960</v>
      </c>
      <c r="F487" t="s">
        <v>84</v>
      </c>
      <c r="G487" t="s">
        <v>961</v>
      </c>
      <c r="H487" s="1">
        <v>44529</v>
      </c>
      <c r="I487" s="1">
        <v>44555</v>
      </c>
      <c r="J487" s="3">
        <v>3563.84</v>
      </c>
      <c r="K487" s="4">
        <f t="shared" si="37"/>
        <v>26</v>
      </c>
      <c r="L487" t="str">
        <f t="shared" si="33"/>
        <v>Nov</v>
      </c>
      <c r="M487">
        <f t="shared" si="35"/>
        <v>2021</v>
      </c>
      <c r="N487">
        <f t="shared" si="36"/>
        <v>18</v>
      </c>
    </row>
    <row r="488" spans="1:14" x14ac:dyDescent="0.3">
      <c r="A488" t="s">
        <v>1073</v>
      </c>
      <c r="B488" t="s">
        <v>1074</v>
      </c>
      <c r="C488" s="1">
        <v>29237</v>
      </c>
      <c r="D488" t="s">
        <v>15</v>
      </c>
      <c r="E488" t="s">
        <v>922</v>
      </c>
      <c r="F488" t="s">
        <v>84</v>
      </c>
      <c r="G488" t="s">
        <v>933</v>
      </c>
      <c r="H488" s="1">
        <v>44522</v>
      </c>
      <c r="I488" s="1">
        <v>44525</v>
      </c>
      <c r="J488" s="3">
        <v>3519.02</v>
      </c>
      <c r="K488" s="4">
        <f t="shared" si="37"/>
        <v>3</v>
      </c>
      <c r="L488" t="str">
        <f t="shared" si="33"/>
        <v>Nov</v>
      </c>
      <c r="M488">
        <f t="shared" si="35"/>
        <v>2021</v>
      </c>
      <c r="N488">
        <f t="shared" si="36"/>
        <v>41</v>
      </c>
    </row>
    <row r="489" spans="1:14" x14ac:dyDescent="0.3">
      <c r="A489" t="s">
        <v>1075</v>
      </c>
      <c r="B489" t="s">
        <v>1076</v>
      </c>
      <c r="C489" s="1">
        <v>12678</v>
      </c>
      <c r="D489" t="s">
        <v>15</v>
      </c>
      <c r="E489" t="s">
        <v>682</v>
      </c>
      <c r="F489" t="s">
        <v>84</v>
      </c>
      <c r="G489" t="s">
        <v>793</v>
      </c>
      <c r="H489" s="1">
        <v>45057</v>
      </c>
      <c r="I489" s="1">
        <v>45058</v>
      </c>
      <c r="J489" s="3">
        <v>3486.71</v>
      </c>
      <c r="K489" s="4">
        <f t="shared" si="37"/>
        <v>1</v>
      </c>
      <c r="L489" t="str">
        <f t="shared" si="33"/>
        <v>May</v>
      </c>
      <c r="M489">
        <f t="shared" si="35"/>
        <v>2023</v>
      </c>
      <c r="N489">
        <f t="shared" si="36"/>
        <v>88</v>
      </c>
    </row>
    <row r="490" spans="1:14" x14ac:dyDescent="0.3">
      <c r="A490" t="s">
        <v>1077</v>
      </c>
      <c r="B490" t="s">
        <v>1078</v>
      </c>
      <c r="C490" s="1">
        <v>16235</v>
      </c>
      <c r="D490" t="s">
        <v>21</v>
      </c>
      <c r="E490" t="s">
        <v>960</v>
      </c>
      <c r="F490" t="s">
        <v>985</v>
      </c>
      <c r="G490" t="s">
        <v>961</v>
      </c>
      <c r="H490" s="1">
        <v>44642</v>
      </c>
      <c r="I490" s="1">
        <v>44664</v>
      </c>
      <c r="J490" s="3">
        <v>3438.59</v>
      </c>
      <c r="K490" s="4">
        <f t="shared" si="37"/>
        <v>22</v>
      </c>
      <c r="L490" t="str">
        <f t="shared" si="33"/>
        <v>Mar</v>
      </c>
      <c r="M490">
        <f t="shared" si="35"/>
        <v>2022</v>
      </c>
      <c r="N490">
        <f t="shared" si="36"/>
        <v>77</v>
      </c>
    </row>
    <row r="491" spans="1:14" x14ac:dyDescent="0.3">
      <c r="A491" t="s">
        <v>1079</v>
      </c>
      <c r="B491" t="s">
        <v>1080</v>
      </c>
      <c r="C491" s="1">
        <v>38984</v>
      </c>
      <c r="D491" t="s">
        <v>21</v>
      </c>
      <c r="E491" t="s">
        <v>936</v>
      </c>
      <c r="F491" t="s">
        <v>937</v>
      </c>
      <c r="G491" t="s">
        <v>938</v>
      </c>
      <c r="H491" s="1">
        <v>44906</v>
      </c>
      <c r="I491" s="1">
        <v>44922</v>
      </c>
      <c r="J491" s="3">
        <v>3427.3</v>
      </c>
      <c r="K491" s="4">
        <f t="shared" si="37"/>
        <v>16</v>
      </c>
      <c r="L491" t="str">
        <f t="shared" si="33"/>
        <v>Dec</v>
      </c>
      <c r="M491">
        <f t="shared" si="35"/>
        <v>2022</v>
      </c>
      <c r="N491">
        <f t="shared" si="36"/>
        <v>16</v>
      </c>
    </row>
    <row r="492" spans="1:14" x14ac:dyDescent="0.3">
      <c r="A492" t="s">
        <v>1081</v>
      </c>
      <c r="B492" t="s">
        <v>1082</v>
      </c>
      <c r="C492" s="1">
        <v>17371</v>
      </c>
      <c r="D492" t="s">
        <v>21</v>
      </c>
      <c r="E492" t="s">
        <v>936</v>
      </c>
      <c r="F492" t="s">
        <v>937</v>
      </c>
      <c r="G492" t="s">
        <v>976</v>
      </c>
      <c r="H492" s="1">
        <v>44815</v>
      </c>
      <c r="I492" s="1">
        <v>44845</v>
      </c>
      <c r="J492" s="3">
        <v>3417.84</v>
      </c>
      <c r="K492" s="4">
        <f t="shared" si="37"/>
        <v>30</v>
      </c>
      <c r="L492" t="str">
        <f t="shared" si="33"/>
        <v>Sep</v>
      </c>
      <c r="M492">
        <f t="shared" si="35"/>
        <v>2022</v>
      </c>
      <c r="N492">
        <f t="shared" si="36"/>
        <v>75</v>
      </c>
    </row>
    <row r="493" spans="1:14" x14ac:dyDescent="0.3">
      <c r="A493" t="s">
        <v>1083</v>
      </c>
      <c r="B493" t="s">
        <v>1084</v>
      </c>
      <c r="C493" s="1">
        <v>14893</v>
      </c>
      <c r="D493" t="s">
        <v>15</v>
      </c>
      <c r="E493" t="s">
        <v>936</v>
      </c>
      <c r="F493" t="s">
        <v>937</v>
      </c>
      <c r="G493" t="s">
        <v>945</v>
      </c>
      <c r="H493" s="1">
        <v>44695</v>
      </c>
      <c r="I493" s="1">
        <v>44713</v>
      </c>
      <c r="J493" s="3">
        <v>3400.4</v>
      </c>
      <c r="K493" s="4">
        <f t="shared" si="37"/>
        <v>18</v>
      </c>
      <c r="L493" t="str">
        <f t="shared" si="33"/>
        <v>May</v>
      </c>
      <c r="M493">
        <f t="shared" si="35"/>
        <v>2022</v>
      </c>
      <c r="N493">
        <f t="shared" si="36"/>
        <v>81</v>
      </c>
    </row>
    <row r="494" spans="1:14" x14ac:dyDescent="0.3">
      <c r="A494" t="s">
        <v>1085</v>
      </c>
      <c r="B494" t="s">
        <v>1086</v>
      </c>
      <c r="C494" s="1">
        <v>11073</v>
      </c>
      <c r="D494" t="s">
        <v>21</v>
      </c>
      <c r="E494" t="s">
        <v>936</v>
      </c>
      <c r="F494" t="s">
        <v>286</v>
      </c>
      <c r="G494" t="s">
        <v>938</v>
      </c>
      <c r="H494" s="1">
        <v>45394</v>
      </c>
      <c r="I494" s="1">
        <v>45404</v>
      </c>
      <c r="J494" s="3">
        <v>3374.54</v>
      </c>
      <c r="K494" s="4">
        <f t="shared" si="37"/>
        <v>10</v>
      </c>
      <c r="L494" t="str">
        <f t="shared" si="33"/>
        <v>Apr</v>
      </c>
      <c r="M494">
        <f t="shared" si="35"/>
        <v>2024</v>
      </c>
      <c r="N494">
        <f t="shared" si="36"/>
        <v>93</v>
      </c>
    </row>
    <row r="495" spans="1:14" x14ac:dyDescent="0.3">
      <c r="A495" t="s">
        <v>1087</v>
      </c>
      <c r="B495" t="s">
        <v>1088</v>
      </c>
      <c r="C495" s="1">
        <v>40306</v>
      </c>
      <c r="D495" t="s">
        <v>15</v>
      </c>
      <c r="E495" t="s">
        <v>682</v>
      </c>
      <c r="F495" t="s">
        <v>746</v>
      </c>
      <c r="G495" t="s">
        <v>684</v>
      </c>
      <c r="H495" s="1">
        <v>44407</v>
      </c>
      <c r="I495" s="1">
        <v>44410</v>
      </c>
      <c r="J495" s="3">
        <v>3337.91</v>
      </c>
      <c r="K495" s="4">
        <f t="shared" si="37"/>
        <v>3</v>
      </c>
      <c r="L495" t="str">
        <f t="shared" ref="L495:L556" si="38">TEXT(H495,"mmm")</f>
        <v>Jul</v>
      </c>
      <c r="M495">
        <f t="shared" si="35"/>
        <v>2021</v>
      </c>
      <c r="N495">
        <f t="shared" si="36"/>
        <v>11</v>
      </c>
    </row>
    <row r="496" spans="1:14" x14ac:dyDescent="0.3">
      <c r="A496" t="s">
        <v>1089</v>
      </c>
      <c r="B496" t="s">
        <v>1090</v>
      </c>
      <c r="C496" s="1">
        <v>19320</v>
      </c>
      <c r="D496" t="s">
        <v>21</v>
      </c>
      <c r="E496" t="s">
        <v>673</v>
      </c>
      <c r="F496" t="s">
        <v>84</v>
      </c>
      <c r="G496" t="s">
        <v>674</v>
      </c>
      <c r="H496" s="1">
        <v>45059</v>
      </c>
      <c r="I496" s="1">
        <v>45064</v>
      </c>
      <c r="J496" s="3">
        <v>3320.98</v>
      </c>
      <c r="K496" s="4">
        <f xml:space="preserve"> I496-H496</f>
        <v>5</v>
      </c>
      <c r="L496" t="str">
        <f t="shared" si="38"/>
        <v>May</v>
      </c>
      <c r="M496">
        <f t="shared" si="35"/>
        <v>2023</v>
      </c>
      <c r="N496">
        <f t="shared" si="36"/>
        <v>70</v>
      </c>
    </row>
    <row r="497" spans="1:14" x14ac:dyDescent="0.3">
      <c r="A497" t="s">
        <v>1091</v>
      </c>
      <c r="B497" t="s">
        <v>1092</v>
      </c>
      <c r="C497" s="1">
        <v>20415</v>
      </c>
      <c r="D497" t="s">
        <v>15</v>
      </c>
      <c r="E497" t="s">
        <v>936</v>
      </c>
      <c r="F497" t="s">
        <v>286</v>
      </c>
      <c r="G497" t="s">
        <v>945</v>
      </c>
      <c r="H497" s="1">
        <v>44941</v>
      </c>
      <c r="I497" s="1">
        <v>44948</v>
      </c>
      <c r="J497" s="3">
        <v>3320.45</v>
      </c>
      <c r="K497" s="4">
        <f t="shared" ref="K497:K520" si="39" xml:space="preserve"> I497-H497</f>
        <v>7</v>
      </c>
      <c r="L497" t="str">
        <f t="shared" si="38"/>
        <v>Jan</v>
      </c>
      <c r="M497">
        <f t="shared" si="35"/>
        <v>2023</v>
      </c>
      <c r="N497">
        <f t="shared" si="36"/>
        <v>67</v>
      </c>
    </row>
    <row r="498" spans="1:14" x14ac:dyDescent="0.3">
      <c r="A498" t="s">
        <v>1093</v>
      </c>
      <c r="B498" t="s">
        <v>1094</v>
      </c>
      <c r="C498" s="1">
        <v>23008</v>
      </c>
      <c r="D498" t="s">
        <v>21</v>
      </c>
      <c r="E498" t="s">
        <v>952</v>
      </c>
      <c r="F498" t="s">
        <v>953</v>
      </c>
      <c r="G498" t="s">
        <v>969</v>
      </c>
      <c r="H498" s="1">
        <v>44531</v>
      </c>
      <c r="I498" s="1">
        <v>44560</v>
      </c>
      <c r="J498" s="3">
        <v>3292.87</v>
      </c>
      <c r="K498" s="4">
        <f t="shared" si="39"/>
        <v>29</v>
      </c>
      <c r="L498" t="str">
        <f t="shared" si="38"/>
        <v>Dec</v>
      </c>
      <c r="M498">
        <f t="shared" si="35"/>
        <v>2021</v>
      </c>
      <c r="N498">
        <f t="shared" si="36"/>
        <v>58</v>
      </c>
    </row>
    <row r="499" spans="1:14" x14ac:dyDescent="0.3">
      <c r="A499" t="s">
        <v>1095</v>
      </c>
      <c r="B499" t="s">
        <v>1096</v>
      </c>
      <c r="C499" s="1">
        <v>27670</v>
      </c>
      <c r="D499" t="s">
        <v>15</v>
      </c>
      <c r="E499" t="s">
        <v>673</v>
      </c>
      <c r="F499" t="s">
        <v>191</v>
      </c>
      <c r="G499" t="s">
        <v>677</v>
      </c>
      <c r="H499" s="1">
        <v>44782</v>
      </c>
      <c r="I499" s="1">
        <v>44789</v>
      </c>
      <c r="J499" s="3">
        <v>3260.91</v>
      </c>
      <c r="K499" s="4">
        <f t="shared" si="39"/>
        <v>7</v>
      </c>
      <c r="L499" t="str">
        <f t="shared" si="38"/>
        <v>Aug</v>
      </c>
      <c r="M499">
        <f t="shared" si="35"/>
        <v>2022</v>
      </c>
      <c r="N499">
        <f t="shared" si="36"/>
        <v>46</v>
      </c>
    </row>
    <row r="500" spans="1:14" x14ac:dyDescent="0.3">
      <c r="A500" t="s">
        <v>1097</v>
      </c>
      <c r="B500" t="s">
        <v>1098</v>
      </c>
      <c r="C500" s="1">
        <v>17688</v>
      </c>
      <c r="D500" t="s">
        <v>15</v>
      </c>
      <c r="E500" t="s">
        <v>657</v>
      </c>
      <c r="F500" t="s">
        <v>191</v>
      </c>
      <c r="G500" t="s">
        <v>666</v>
      </c>
      <c r="H500" s="1">
        <v>44695</v>
      </c>
      <c r="I500" s="1">
        <v>44711</v>
      </c>
      <c r="J500" s="3">
        <v>3252.5</v>
      </c>
      <c r="K500" s="4">
        <f t="shared" si="39"/>
        <v>16</v>
      </c>
      <c r="L500" t="str">
        <f t="shared" si="38"/>
        <v>May</v>
      </c>
      <c r="M500">
        <f t="shared" si="35"/>
        <v>2022</v>
      </c>
      <c r="N500">
        <f t="shared" si="36"/>
        <v>73</v>
      </c>
    </row>
    <row r="501" spans="1:14" x14ac:dyDescent="0.3">
      <c r="A501" t="s">
        <v>1099</v>
      </c>
      <c r="B501" t="s">
        <v>1100</v>
      </c>
      <c r="C501" s="1">
        <v>24451</v>
      </c>
      <c r="D501" t="s">
        <v>15</v>
      </c>
      <c r="E501" t="s">
        <v>657</v>
      </c>
      <c r="F501" t="s">
        <v>191</v>
      </c>
      <c r="G501" t="s">
        <v>659</v>
      </c>
      <c r="H501" s="1">
        <v>45418</v>
      </c>
      <c r="I501" s="1">
        <v>45420</v>
      </c>
      <c r="J501" s="3">
        <v>3202.45</v>
      </c>
      <c r="K501" s="4">
        <f t="shared" si="39"/>
        <v>2</v>
      </c>
      <c r="L501" t="str">
        <f t="shared" si="38"/>
        <v>May</v>
      </c>
      <c r="M501">
        <f t="shared" si="35"/>
        <v>2024</v>
      </c>
      <c r="N501">
        <f t="shared" si="36"/>
        <v>57</v>
      </c>
    </row>
    <row r="502" spans="1:14" x14ac:dyDescent="0.3">
      <c r="A502" t="s">
        <v>1101</v>
      </c>
      <c r="B502" t="s">
        <v>1102</v>
      </c>
      <c r="C502" s="1">
        <v>19811</v>
      </c>
      <c r="D502" t="s">
        <v>21</v>
      </c>
      <c r="E502" t="s">
        <v>936</v>
      </c>
      <c r="F502" t="s">
        <v>937</v>
      </c>
      <c r="G502" t="s">
        <v>976</v>
      </c>
      <c r="H502" s="1">
        <v>44910</v>
      </c>
      <c r="I502" s="1">
        <v>44939</v>
      </c>
      <c r="J502" s="3">
        <v>3165.19</v>
      </c>
      <c r="K502" s="4">
        <f t="shared" si="39"/>
        <v>29</v>
      </c>
      <c r="L502" t="str">
        <f t="shared" si="38"/>
        <v>Dec</v>
      </c>
      <c r="M502">
        <f t="shared" si="35"/>
        <v>2022</v>
      </c>
      <c r="N502">
        <f t="shared" si="36"/>
        <v>68</v>
      </c>
    </row>
    <row r="503" spans="1:14" x14ac:dyDescent="0.3">
      <c r="A503" t="s">
        <v>1103</v>
      </c>
      <c r="B503" t="s">
        <v>1104</v>
      </c>
      <c r="C503" s="1">
        <v>23950</v>
      </c>
      <c r="D503" t="s">
        <v>21</v>
      </c>
      <c r="E503" t="s">
        <v>960</v>
      </c>
      <c r="F503" t="s">
        <v>84</v>
      </c>
      <c r="G503" t="s">
        <v>1018</v>
      </c>
      <c r="H503" s="1">
        <v>44598</v>
      </c>
      <c r="I503" s="1">
        <v>44622</v>
      </c>
      <c r="J503" s="3">
        <v>3159.35</v>
      </c>
      <c r="K503" s="4">
        <f t="shared" si="39"/>
        <v>24</v>
      </c>
      <c r="L503" t="str">
        <f t="shared" si="38"/>
        <v>Feb</v>
      </c>
      <c r="M503">
        <f t="shared" si="35"/>
        <v>2022</v>
      </c>
      <c r="N503">
        <f t="shared" si="36"/>
        <v>56</v>
      </c>
    </row>
    <row r="504" spans="1:14" x14ac:dyDescent="0.3">
      <c r="A504" t="s">
        <v>1105</v>
      </c>
      <c r="B504" t="s">
        <v>1106</v>
      </c>
      <c r="C504" s="1">
        <v>9175</v>
      </c>
      <c r="D504" t="s">
        <v>15</v>
      </c>
      <c r="E504" t="s">
        <v>481</v>
      </c>
      <c r="F504" t="s">
        <v>17</v>
      </c>
      <c r="G504" t="s">
        <v>495</v>
      </c>
      <c r="H504" s="1">
        <v>45339</v>
      </c>
      <c r="I504" s="1">
        <v>45351</v>
      </c>
      <c r="J504" s="3">
        <v>3150.23</v>
      </c>
      <c r="K504" s="4">
        <f t="shared" si="39"/>
        <v>12</v>
      </c>
      <c r="L504" t="str">
        <f t="shared" si="38"/>
        <v>Feb</v>
      </c>
      <c r="M504">
        <f t="shared" si="35"/>
        <v>2024</v>
      </c>
      <c r="N504">
        <f t="shared" si="36"/>
        <v>99</v>
      </c>
    </row>
    <row r="505" spans="1:14" x14ac:dyDescent="0.3">
      <c r="A505" t="s">
        <v>1107</v>
      </c>
      <c r="B505" t="s">
        <v>1108</v>
      </c>
      <c r="C505" s="1">
        <v>25809</v>
      </c>
      <c r="D505" t="s">
        <v>21</v>
      </c>
      <c r="E505" t="s">
        <v>960</v>
      </c>
      <c r="F505" t="s">
        <v>84</v>
      </c>
      <c r="G505" t="s">
        <v>961</v>
      </c>
      <c r="H505" s="1">
        <v>45380</v>
      </c>
      <c r="I505" s="1">
        <v>45384</v>
      </c>
      <c r="J505" s="3">
        <v>3114.85</v>
      </c>
      <c r="K505" s="4">
        <f t="shared" si="39"/>
        <v>4</v>
      </c>
      <c r="L505" t="str">
        <f t="shared" si="38"/>
        <v>Mar</v>
      </c>
      <c r="M505">
        <f t="shared" si="35"/>
        <v>2024</v>
      </c>
      <c r="N505">
        <f t="shared" si="36"/>
        <v>53</v>
      </c>
    </row>
    <row r="506" spans="1:14" x14ac:dyDescent="0.3">
      <c r="A506" t="s">
        <v>1109</v>
      </c>
      <c r="B506" t="s">
        <v>1110</v>
      </c>
      <c r="C506" s="1">
        <v>20489</v>
      </c>
      <c r="D506" t="s">
        <v>21</v>
      </c>
      <c r="E506" t="s">
        <v>673</v>
      </c>
      <c r="F506" t="s">
        <v>191</v>
      </c>
      <c r="G506" t="s">
        <v>674</v>
      </c>
      <c r="H506" s="1">
        <v>45169</v>
      </c>
      <c r="I506" s="1">
        <v>45177</v>
      </c>
      <c r="J506" s="3">
        <v>3105.85</v>
      </c>
      <c r="K506" s="4">
        <f t="shared" si="39"/>
        <v>8</v>
      </c>
      <c r="L506" t="str">
        <f t="shared" si="38"/>
        <v>Aug</v>
      </c>
      <c r="M506">
        <f t="shared" si="35"/>
        <v>2023</v>
      </c>
      <c r="N506">
        <f t="shared" si="36"/>
        <v>67</v>
      </c>
    </row>
    <row r="507" spans="1:14" x14ac:dyDescent="0.3">
      <c r="A507" t="s">
        <v>1111</v>
      </c>
      <c r="B507" t="s">
        <v>1112</v>
      </c>
      <c r="C507" s="1">
        <v>16367</v>
      </c>
      <c r="D507" t="s">
        <v>15</v>
      </c>
      <c r="E507" t="s">
        <v>960</v>
      </c>
      <c r="F507" t="s">
        <v>985</v>
      </c>
      <c r="G507" t="s">
        <v>1018</v>
      </c>
      <c r="H507" s="1">
        <v>45093</v>
      </c>
      <c r="I507" s="1">
        <v>45120</v>
      </c>
      <c r="J507" s="3">
        <v>3100.48</v>
      </c>
      <c r="K507" s="4">
        <f t="shared" si="39"/>
        <v>27</v>
      </c>
      <c r="L507" t="str">
        <f t="shared" si="38"/>
        <v>Jun</v>
      </c>
      <c r="M507">
        <f t="shared" si="35"/>
        <v>2023</v>
      </c>
      <c r="N507">
        <f t="shared" si="36"/>
        <v>78</v>
      </c>
    </row>
    <row r="508" spans="1:14" x14ac:dyDescent="0.3">
      <c r="A508" t="s">
        <v>1113</v>
      </c>
      <c r="B508" t="s">
        <v>1114</v>
      </c>
      <c r="C508" s="1">
        <v>42348</v>
      </c>
      <c r="D508" t="s">
        <v>21</v>
      </c>
      <c r="E508" t="s">
        <v>922</v>
      </c>
      <c r="F508" t="s">
        <v>683</v>
      </c>
      <c r="G508" t="s">
        <v>930</v>
      </c>
      <c r="H508" s="1">
        <v>44671</v>
      </c>
      <c r="I508" s="1">
        <v>44676</v>
      </c>
      <c r="J508" s="3">
        <v>3090.77</v>
      </c>
      <c r="K508" s="4">
        <f t="shared" si="39"/>
        <v>5</v>
      </c>
      <c r="L508" t="str">
        <f t="shared" si="38"/>
        <v>Apr</v>
      </c>
      <c r="M508">
        <f t="shared" ref="M508:M569" si="40">YEAR(H508)</f>
        <v>2022</v>
      </c>
      <c r="N508">
        <f t="shared" ref="N508:N569" si="41">DATEDIF(C508, H508, "Y")</f>
        <v>6</v>
      </c>
    </row>
    <row r="509" spans="1:14" x14ac:dyDescent="0.3">
      <c r="A509" t="s">
        <v>1115</v>
      </c>
      <c r="B509" t="s">
        <v>1116</v>
      </c>
      <c r="C509" s="1">
        <v>19307</v>
      </c>
      <c r="D509" t="s">
        <v>15</v>
      </c>
      <c r="E509" t="s">
        <v>960</v>
      </c>
      <c r="F509" t="s">
        <v>84</v>
      </c>
      <c r="G509" t="s">
        <v>1018</v>
      </c>
      <c r="H509" s="1">
        <v>44621</v>
      </c>
      <c r="I509" s="1">
        <v>44628</v>
      </c>
      <c r="J509" s="3">
        <v>3074.27</v>
      </c>
      <c r="K509" s="4">
        <f t="shared" si="39"/>
        <v>7</v>
      </c>
      <c r="L509" t="str">
        <f t="shared" si="38"/>
        <v>Mar</v>
      </c>
      <c r="M509">
        <f t="shared" si="40"/>
        <v>2022</v>
      </c>
      <c r="N509">
        <f t="shared" si="41"/>
        <v>69</v>
      </c>
    </row>
    <row r="510" spans="1:14" x14ac:dyDescent="0.3">
      <c r="A510" t="s">
        <v>1117</v>
      </c>
      <c r="B510" t="s">
        <v>1118</v>
      </c>
      <c r="C510" s="1">
        <v>37677</v>
      </c>
      <c r="D510" t="s">
        <v>15</v>
      </c>
      <c r="E510" t="s">
        <v>960</v>
      </c>
      <c r="F510" t="s">
        <v>985</v>
      </c>
      <c r="G510" t="s">
        <v>1018</v>
      </c>
      <c r="H510" s="1">
        <v>44695</v>
      </c>
      <c r="I510" s="1">
        <v>44725</v>
      </c>
      <c r="J510" s="3">
        <v>3071.12</v>
      </c>
      <c r="K510" s="4">
        <f t="shared" si="39"/>
        <v>30</v>
      </c>
      <c r="L510" t="str">
        <f t="shared" si="38"/>
        <v>May</v>
      </c>
      <c r="M510">
        <f t="shared" si="40"/>
        <v>2022</v>
      </c>
      <c r="N510">
        <f t="shared" si="41"/>
        <v>19</v>
      </c>
    </row>
    <row r="511" spans="1:14" x14ac:dyDescent="0.3">
      <c r="A511" t="s">
        <v>1119</v>
      </c>
      <c r="B511" t="s">
        <v>1120</v>
      </c>
      <c r="C511" s="1">
        <v>31538</v>
      </c>
      <c r="D511" t="s">
        <v>15</v>
      </c>
      <c r="E511" t="s">
        <v>952</v>
      </c>
      <c r="F511" t="s">
        <v>953</v>
      </c>
      <c r="G511" t="s">
        <v>954</v>
      </c>
      <c r="H511" s="1">
        <v>44719</v>
      </c>
      <c r="I511" s="1">
        <v>44725</v>
      </c>
      <c r="J511" s="3">
        <v>3049.78</v>
      </c>
      <c r="K511" s="4">
        <f t="shared" si="39"/>
        <v>6</v>
      </c>
      <c r="L511" t="str">
        <f t="shared" si="38"/>
        <v>Jun</v>
      </c>
      <c r="M511">
        <f t="shared" si="40"/>
        <v>2022</v>
      </c>
      <c r="N511">
        <f t="shared" si="41"/>
        <v>36</v>
      </c>
    </row>
    <row r="512" spans="1:14" x14ac:dyDescent="0.3">
      <c r="A512" t="s">
        <v>1121</v>
      </c>
      <c r="B512" t="s">
        <v>1122</v>
      </c>
      <c r="C512" s="1">
        <v>25049</v>
      </c>
      <c r="D512" t="s">
        <v>21</v>
      </c>
      <c r="E512" t="s">
        <v>952</v>
      </c>
      <c r="F512" t="s">
        <v>953</v>
      </c>
      <c r="G512" t="s">
        <v>954</v>
      </c>
      <c r="H512" s="1">
        <v>44857</v>
      </c>
      <c r="I512" s="1">
        <v>44868</v>
      </c>
      <c r="J512" s="3">
        <v>3035.9</v>
      </c>
      <c r="K512" s="4">
        <f t="shared" si="39"/>
        <v>11</v>
      </c>
      <c r="L512" t="str">
        <f t="shared" si="38"/>
        <v>Oct</v>
      </c>
      <c r="M512">
        <f t="shared" si="40"/>
        <v>2022</v>
      </c>
      <c r="N512">
        <f t="shared" si="41"/>
        <v>54</v>
      </c>
    </row>
    <row r="513" spans="1:14" x14ac:dyDescent="0.3">
      <c r="A513" t="s">
        <v>1123</v>
      </c>
      <c r="B513" t="s">
        <v>1124</v>
      </c>
      <c r="C513" s="1">
        <v>37058</v>
      </c>
      <c r="D513" t="s">
        <v>15</v>
      </c>
      <c r="E513" t="s">
        <v>481</v>
      </c>
      <c r="F513" t="s">
        <v>84</v>
      </c>
      <c r="G513" t="s">
        <v>495</v>
      </c>
      <c r="H513" s="1">
        <v>44462</v>
      </c>
      <c r="I513" s="1">
        <v>44475</v>
      </c>
      <c r="J513" s="3">
        <v>3010.52</v>
      </c>
      <c r="K513" s="4">
        <f t="shared" si="39"/>
        <v>13</v>
      </c>
      <c r="L513" t="str">
        <f t="shared" si="38"/>
        <v>Sep</v>
      </c>
      <c r="M513">
        <f t="shared" si="40"/>
        <v>2021</v>
      </c>
      <c r="N513">
        <f t="shared" si="41"/>
        <v>20</v>
      </c>
    </row>
    <row r="514" spans="1:14" x14ac:dyDescent="0.3">
      <c r="A514" t="s">
        <v>1125</v>
      </c>
      <c r="B514" t="s">
        <v>1126</v>
      </c>
      <c r="C514" s="1">
        <v>19144</v>
      </c>
      <c r="D514" t="s">
        <v>21</v>
      </c>
      <c r="E514" t="s">
        <v>1127</v>
      </c>
      <c r="F514" t="s">
        <v>1128</v>
      </c>
      <c r="G514" t="s">
        <v>1129</v>
      </c>
      <c r="H514" s="1">
        <v>45183</v>
      </c>
      <c r="I514" s="1">
        <v>45207</v>
      </c>
      <c r="J514" s="3">
        <v>2979.77</v>
      </c>
      <c r="K514" s="4">
        <f t="shared" si="39"/>
        <v>24</v>
      </c>
      <c r="L514" t="str">
        <f t="shared" si="38"/>
        <v>Sep</v>
      </c>
      <c r="M514">
        <f t="shared" si="40"/>
        <v>2023</v>
      </c>
      <c r="N514">
        <f t="shared" si="41"/>
        <v>71</v>
      </c>
    </row>
    <row r="515" spans="1:14" x14ac:dyDescent="0.3">
      <c r="A515" t="s">
        <v>1130</v>
      </c>
      <c r="B515" t="s">
        <v>1131</v>
      </c>
      <c r="C515" s="1">
        <v>20835</v>
      </c>
      <c r="D515" t="s">
        <v>15</v>
      </c>
      <c r="E515" t="s">
        <v>1132</v>
      </c>
      <c r="F515" t="s">
        <v>295</v>
      </c>
      <c r="G515" t="s">
        <v>1133</v>
      </c>
      <c r="H515" s="1">
        <v>44572</v>
      </c>
      <c r="I515" s="1">
        <v>44578</v>
      </c>
      <c r="J515" s="3">
        <v>2979.37</v>
      </c>
      <c r="K515" s="4">
        <f t="shared" si="39"/>
        <v>6</v>
      </c>
      <c r="L515" t="str">
        <f t="shared" si="38"/>
        <v>Jan</v>
      </c>
      <c r="M515">
        <f t="shared" si="40"/>
        <v>2022</v>
      </c>
      <c r="N515">
        <f t="shared" si="41"/>
        <v>64</v>
      </c>
    </row>
    <row r="516" spans="1:14" x14ac:dyDescent="0.3">
      <c r="A516" t="s">
        <v>1134</v>
      </c>
      <c r="B516" t="s">
        <v>1135</v>
      </c>
      <c r="C516" s="1">
        <v>31193</v>
      </c>
      <c r="D516" t="s">
        <v>21</v>
      </c>
      <c r="E516" t="s">
        <v>960</v>
      </c>
      <c r="F516" t="s">
        <v>84</v>
      </c>
      <c r="G516" t="s">
        <v>1018</v>
      </c>
      <c r="H516" s="1">
        <v>44830</v>
      </c>
      <c r="I516" s="1">
        <v>44831</v>
      </c>
      <c r="J516" s="3">
        <v>2975.42</v>
      </c>
      <c r="K516" s="4">
        <f t="shared" si="39"/>
        <v>1</v>
      </c>
      <c r="L516" t="str">
        <f t="shared" si="38"/>
        <v>Sep</v>
      </c>
      <c r="M516">
        <f t="shared" si="40"/>
        <v>2022</v>
      </c>
      <c r="N516">
        <f t="shared" si="41"/>
        <v>37</v>
      </c>
    </row>
    <row r="517" spans="1:14" x14ac:dyDescent="0.3">
      <c r="A517" t="s">
        <v>1136</v>
      </c>
      <c r="B517" t="s">
        <v>1137</v>
      </c>
      <c r="C517" s="1">
        <v>26506</v>
      </c>
      <c r="D517" t="s">
        <v>15</v>
      </c>
      <c r="E517" t="s">
        <v>1138</v>
      </c>
      <c r="F517" t="s">
        <v>1139</v>
      </c>
      <c r="G517" t="s">
        <v>1140</v>
      </c>
      <c r="H517" s="1">
        <v>44604</v>
      </c>
      <c r="I517" s="1">
        <v>44629</v>
      </c>
      <c r="J517" s="3">
        <v>2968.97</v>
      </c>
      <c r="K517" s="4">
        <f t="shared" si="39"/>
        <v>25</v>
      </c>
      <c r="L517" t="str">
        <f t="shared" si="38"/>
        <v>Feb</v>
      </c>
      <c r="M517">
        <f t="shared" si="40"/>
        <v>2022</v>
      </c>
      <c r="N517">
        <f t="shared" si="41"/>
        <v>49</v>
      </c>
    </row>
    <row r="518" spans="1:14" x14ac:dyDescent="0.3">
      <c r="A518" t="s">
        <v>1141</v>
      </c>
      <c r="B518" t="s">
        <v>1142</v>
      </c>
      <c r="C518" s="1">
        <v>19873</v>
      </c>
      <c r="D518" t="s">
        <v>21</v>
      </c>
      <c r="E518" t="s">
        <v>657</v>
      </c>
      <c r="F518" t="s">
        <v>658</v>
      </c>
      <c r="G518" t="s">
        <v>666</v>
      </c>
      <c r="H518" s="1">
        <v>45357</v>
      </c>
      <c r="I518" s="1">
        <v>45362</v>
      </c>
      <c r="J518" s="3">
        <v>2962.99</v>
      </c>
      <c r="K518" s="4">
        <f t="shared" si="39"/>
        <v>5</v>
      </c>
      <c r="L518" t="str">
        <f t="shared" si="38"/>
        <v>Mar</v>
      </c>
      <c r="M518">
        <f t="shared" si="40"/>
        <v>2024</v>
      </c>
      <c r="N518">
        <f t="shared" si="41"/>
        <v>69</v>
      </c>
    </row>
    <row r="519" spans="1:14" x14ac:dyDescent="0.3">
      <c r="A519" t="s">
        <v>1143</v>
      </c>
      <c r="B519" t="s">
        <v>1144</v>
      </c>
      <c r="C519" s="1">
        <v>32051</v>
      </c>
      <c r="D519" t="s">
        <v>15</v>
      </c>
      <c r="E519" t="s">
        <v>952</v>
      </c>
      <c r="F519" t="s">
        <v>953</v>
      </c>
      <c r="G519" t="s">
        <v>957</v>
      </c>
      <c r="H519" s="1">
        <v>44412</v>
      </c>
      <c r="I519" s="1">
        <v>44422</v>
      </c>
      <c r="J519" s="3">
        <v>2960.11</v>
      </c>
      <c r="K519" s="4">
        <f t="shared" si="39"/>
        <v>10</v>
      </c>
      <c r="L519" t="str">
        <f t="shared" si="38"/>
        <v>Aug</v>
      </c>
      <c r="M519">
        <f t="shared" si="40"/>
        <v>2021</v>
      </c>
      <c r="N519">
        <f t="shared" si="41"/>
        <v>33</v>
      </c>
    </row>
    <row r="520" spans="1:14" x14ac:dyDescent="0.3">
      <c r="A520" t="s">
        <v>1145</v>
      </c>
      <c r="B520" t="s">
        <v>1146</v>
      </c>
      <c r="C520" s="1">
        <v>35522</v>
      </c>
      <c r="D520" t="s">
        <v>21</v>
      </c>
      <c r="E520" t="s">
        <v>1147</v>
      </c>
      <c r="F520" t="s">
        <v>1148</v>
      </c>
      <c r="G520" t="s">
        <v>1149</v>
      </c>
      <c r="H520" s="1">
        <v>45477</v>
      </c>
      <c r="I520" s="1">
        <v>45483</v>
      </c>
      <c r="J520" s="3">
        <v>2957.6</v>
      </c>
      <c r="K520" s="4">
        <f t="shared" si="39"/>
        <v>6</v>
      </c>
      <c r="L520" t="str">
        <f t="shared" si="38"/>
        <v>Jul</v>
      </c>
      <c r="M520">
        <f t="shared" si="40"/>
        <v>2024</v>
      </c>
      <c r="N520">
        <f t="shared" si="41"/>
        <v>27</v>
      </c>
    </row>
    <row r="521" spans="1:14" x14ac:dyDescent="0.3">
      <c r="A521" t="s">
        <v>1150</v>
      </c>
      <c r="B521" t="s">
        <v>1151</v>
      </c>
      <c r="C521" s="1">
        <v>26989</v>
      </c>
      <c r="D521" t="s">
        <v>15</v>
      </c>
      <c r="E521" t="s">
        <v>2144</v>
      </c>
      <c r="F521" t="s">
        <v>295</v>
      </c>
      <c r="G521" t="s">
        <v>1149</v>
      </c>
      <c r="H521" s="1">
        <v>44894</v>
      </c>
      <c r="I521" s="1">
        <v>44913</v>
      </c>
      <c r="J521" s="3">
        <v>2956.16</v>
      </c>
      <c r="K521" s="4">
        <f xml:space="preserve"> I521-H521</f>
        <v>19</v>
      </c>
      <c r="L521" t="str">
        <f t="shared" si="38"/>
        <v>Nov</v>
      </c>
      <c r="M521">
        <f t="shared" si="40"/>
        <v>2022</v>
      </c>
      <c r="N521">
        <f t="shared" si="41"/>
        <v>49</v>
      </c>
    </row>
    <row r="522" spans="1:14" x14ac:dyDescent="0.3">
      <c r="A522" t="s">
        <v>1152</v>
      </c>
      <c r="B522" t="s">
        <v>1153</v>
      </c>
      <c r="C522" s="1">
        <v>30772</v>
      </c>
      <c r="D522" t="s">
        <v>15</v>
      </c>
      <c r="E522" t="s">
        <v>1127</v>
      </c>
      <c r="F522" t="s">
        <v>91</v>
      </c>
      <c r="G522" t="s">
        <v>1154</v>
      </c>
      <c r="H522" s="1">
        <v>44622</v>
      </c>
      <c r="I522" s="1">
        <v>44644</v>
      </c>
      <c r="J522" s="3">
        <v>2949.1</v>
      </c>
      <c r="K522" s="4">
        <f t="shared" ref="K522:K582" si="42" xml:space="preserve"> I522-H522</f>
        <v>22</v>
      </c>
      <c r="L522" t="str">
        <f t="shared" si="38"/>
        <v>Mar</v>
      </c>
      <c r="M522">
        <f t="shared" si="40"/>
        <v>2022</v>
      </c>
      <c r="N522">
        <f t="shared" si="41"/>
        <v>37</v>
      </c>
    </row>
    <row r="523" spans="1:14" x14ac:dyDescent="0.3">
      <c r="A523" t="s">
        <v>1155</v>
      </c>
      <c r="B523" t="s">
        <v>1156</v>
      </c>
      <c r="C523" s="1">
        <v>32747</v>
      </c>
      <c r="D523" t="s">
        <v>15</v>
      </c>
      <c r="E523" t="s">
        <v>1147</v>
      </c>
      <c r="F523" t="s">
        <v>1128</v>
      </c>
      <c r="G523" t="s">
        <v>1149</v>
      </c>
      <c r="H523" s="1">
        <v>44829</v>
      </c>
      <c r="I523" s="1">
        <v>44832</v>
      </c>
      <c r="J523" s="3">
        <v>2946.68</v>
      </c>
      <c r="K523" s="4">
        <f t="shared" si="42"/>
        <v>3</v>
      </c>
      <c r="L523" t="str">
        <f t="shared" si="38"/>
        <v>Sep</v>
      </c>
      <c r="M523">
        <f t="shared" si="40"/>
        <v>2022</v>
      </c>
      <c r="N523">
        <f t="shared" si="41"/>
        <v>33</v>
      </c>
    </row>
    <row r="524" spans="1:14" x14ac:dyDescent="0.3">
      <c r="A524" t="s">
        <v>1157</v>
      </c>
      <c r="B524" t="s">
        <v>1158</v>
      </c>
      <c r="C524" s="1">
        <v>34511</v>
      </c>
      <c r="D524" t="s">
        <v>21</v>
      </c>
      <c r="E524" t="s">
        <v>952</v>
      </c>
      <c r="F524" t="s">
        <v>953</v>
      </c>
      <c r="G524" t="s">
        <v>969</v>
      </c>
      <c r="H524" s="1">
        <v>44729</v>
      </c>
      <c r="I524" s="1">
        <v>44750</v>
      </c>
      <c r="J524" s="3">
        <v>2940.66</v>
      </c>
      <c r="K524" s="4">
        <f t="shared" si="42"/>
        <v>21</v>
      </c>
      <c r="L524" t="str">
        <f t="shared" si="38"/>
        <v>Jun</v>
      </c>
      <c r="M524">
        <f t="shared" si="40"/>
        <v>2022</v>
      </c>
      <c r="N524">
        <f t="shared" si="41"/>
        <v>27</v>
      </c>
    </row>
    <row r="525" spans="1:14" x14ac:dyDescent="0.3">
      <c r="A525" t="s">
        <v>1159</v>
      </c>
      <c r="B525" t="s">
        <v>1160</v>
      </c>
      <c r="C525" s="1">
        <v>20723</v>
      </c>
      <c r="D525" t="s">
        <v>15</v>
      </c>
      <c r="E525" t="s">
        <v>1161</v>
      </c>
      <c r="F525" t="s">
        <v>1162</v>
      </c>
      <c r="G525" t="s">
        <v>1163</v>
      </c>
      <c r="H525" s="1">
        <v>44771</v>
      </c>
      <c r="I525" s="1">
        <v>44792</v>
      </c>
      <c r="J525" s="3">
        <v>2938.81</v>
      </c>
      <c r="K525" s="4">
        <f t="shared" si="42"/>
        <v>21</v>
      </c>
      <c r="L525" t="str">
        <f t="shared" si="38"/>
        <v>Jul</v>
      </c>
      <c r="M525">
        <f t="shared" si="40"/>
        <v>2022</v>
      </c>
      <c r="N525">
        <f t="shared" si="41"/>
        <v>65</v>
      </c>
    </row>
    <row r="526" spans="1:14" x14ac:dyDescent="0.3">
      <c r="A526" t="s">
        <v>1164</v>
      </c>
      <c r="B526" t="s">
        <v>1165</v>
      </c>
      <c r="C526" s="1">
        <v>36481</v>
      </c>
      <c r="D526" t="s">
        <v>21</v>
      </c>
      <c r="E526" t="s">
        <v>960</v>
      </c>
      <c r="F526" t="s">
        <v>84</v>
      </c>
      <c r="G526" t="s">
        <v>994</v>
      </c>
      <c r="H526" s="1">
        <v>45188</v>
      </c>
      <c r="I526" s="1">
        <v>45205</v>
      </c>
      <c r="J526" s="3">
        <v>2938.48</v>
      </c>
      <c r="K526" s="4">
        <f t="shared" si="42"/>
        <v>17</v>
      </c>
      <c r="L526" t="str">
        <f t="shared" si="38"/>
        <v>Sep</v>
      </c>
      <c r="M526">
        <f t="shared" si="40"/>
        <v>2023</v>
      </c>
      <c r="N526">
        <f t="shared" si="41"/>
        <v>23</v>
      </c>
    </row>
    <row r="527" spans="1:14" x14ac:dyDescent="0.3">
      <c r="A527" t="s">
        <v>1166</v>
      </c>
      <c r="B527" t="s">
        <v>1167</v>
      </c>
      <c r="C527" s="1">
        <v>42827</v>
      </c>
      <c r="D527" t="s">
        <v>21</v>
      </c>
      <c r="E527" t="s">
        <v>1127</v>
      </c>
      <c r="F527" t="s">
        <v>1168</v>
      </c>
      <c r="G527" t="s">
        <v>1154</v>
      </c>
      <c r="H527" s="1">
        <v>44610</v>
      </c>
      <c r="I527" s="1">
        <v>44621</v>
      </c>
      <c r="J527" s="3">
        <v>2932.08</v>
      </c>
      <c r="K527" s="4">
        <f t="shared" si="42"/>
        <v>11</v>
      </c>
      <c r="L527" t="str">
        <f t="shared" si="38"/>
        <v>Feb</v>
      </c>
      <c r="M527">
        <f t="shared" si="40"/>
        <v>2022</v>
      </c>
      <c r="N527">
        <f t="shared" si="41"/>
        <v>4</v>
      </c>
    </row>
    <row r="528" spans="1:14" x14ac:dyDescent="0.3">
      <c r="A528" t="s">
        <v>1169</v>
      </c>
      <c r="B528" t="s">
        <v>1170</v>
      </c>
      <c r="C528" s="1">
        <v>25466</v>
      </c>
      <c r="D528" t="s">
        <v>21</v>
      </c>
      <c r="E528" t="s">
        <v>1171</v>
      </c>
      <c r="F528" t="s">
        <v>295</v>
      </c>
      <c r="G528" t="s">
        <v>1172</v>
      </c>
      <c r="H528" s="1">
        <v>45364</v>
      </c>
      <c r="I528" s="1">
        <v>45387</v>
      </c>
      <c r="J528" s="3">
        <v>2928.45</v>
      </c>
      <c r="K528" s="4">
        <f t="shared" si="42"/>
        <v>23</v>
      </c>
      <c r="L528" t="str">
        <f t="shared" si="38"/>
        <v>Mar</v>
      </c>
      <c r="M528">
        <f t="shared" si="40"/>
        <v>2024</v>
      </c>
      <c r="N528">
        <f t="shared" si="41"/>
        <v>54</v>
      </c>
    </row>
    <row r="529" spans="1:14" x14ac:dyDescent="0.3">
      <c r="A529" t="s">
        <v>1173</v>
      </c>
      <c r="B529" t="s">
        <v>1174</v>
      </c>
      <c r="C529" s="1">
        <v>12767</v>
      </c>
      <c r="D529" t="s">
        <v>15</v>
      </c>
      <c r="E529" t="s">
        <v>936</v>
      </c>
      <c r="F529" t="s">
        <v>286</v>
      </c>
      <c r="G529" t="s">
        <v>945</v>
      </c>
      <c r="H529" s="1">
        <v>44745</v>
      </c>
      <c r="I529" s="1">
        <v>44768</v>
      </c>
      <c r="J529" s="3">
        <v>2925.02</v>
      </c>
      <c r="K529" s="4">
        <f t="shared" si="42"/>
        <v>23</v>
      </c>
      <c r="L529" t="str">
        <f t="shared" si="38"/>
        <v>Jul</v>
      </c>
      <c r="M529">
        <f t="shared" si="40"/>
        <v>2022</v>
      </c>
      <c r="N529">
        <f t="shared" si="41"/>
        <v>87</v>
      </c>
    </row>
    <row r="530" spans="1:14" x14ac:dyDescent="0.3">
      <c r="A530" t="s">
        <v>1175</v>
      </c>
      <c r="B530" t="s">
        <v>1176</v>
      </c>
      <c r="C530" s="1">
        <v>20482</v>
      </c>
      <c r="D530" t="s">
        <v>21</v>
      </c>
      <c r="E530" t="s">
        <v>1127</v>
      </c>
      <c r="F530" t="s">
        <v>1128</v>
      </c>
      <c r="G530" t="s">
        <v>1154</v>
      </c>
      <c r="H530" s="1">
        <v>44771</v>
      </c>
      <c r="I530" s="1">
        <v>44793</v>
      </c>
      <c r="J530" s="3">
        <v>2923.69</v>
      </c>
      <c r="K530" s="4">
        <f t="shared" si="42"/>
        <v>22</v>
      </c>
      <c r="L530" t="str">
        <f t="shared" si="38"/>
        <v>Jul</v>
      </c>
      <c r="M530">
        <f t="shared" si="40"/>
        <v>2022</v>
      </c>
      <c r="N530">
        <f t="shared" si="41"/>
        <v>66</v>
      </c>
    </row>
    <row r="531" spans="1:14" x14ac:dyDescent="0.3">
      <c r="A531" t="s">
        <v>1177</v>
      </c>
      <c r="B531" t="s">
        <v>1178</v>
      </c>
      <c r="C531" s="1">
        <v>35430</v>
      </c>
      <c r="D531" t="s">
        <v>15</v>
      </c>
      <c r="E531" t="s">
        <v>1171</v>
      </c>
      <c r="F531" t="s">
        <v>1128</v>
      </c>
      <c r="G531" t="s">
        <v>1179</v>
      </c>
      <c r="H531" s="1">
        <v>44965</v>
      </c>
      <c r="I531" s="1">
        <v>44973</v>
      </c>
      <c r="J531" s="3">
        <v>2918.7</v>
      </c>
      <c r="K531" s="4">
        <f t="shared" si="42"/>
        <v>8</v>
      </c>
      <c r="L531" t="str">
        <f t="shared" si="38"/>
        <v>Feb</v>
      </c>
      <c r="M531">
        <f t="shared" si="40"/>
        <v>2023</v>
      </c>
      <c r="N531">
        <f t="shared" si="41"/>
        <v>26</v>
      </c>
    </row>
    <row r="532" spans="1:14" x14ac:dyDescent="0.3">
      <c r="A532" t="s">
        <v>1180</v>
      </c>
      <c r="B532" t="s">
        <v>1181</v>
      </c>
      <c r="C532" s="1">
        <v>16586</v>
      </c>
      <c r="D532" t="s">
        <v>21</v>
      </c>
      <c r="E532" t="s">
        <v>2144</v>
      </c>
      <c r="F532" t="s">
        <v>295</v>
      </c>
      <c r="G532" t="s">
        <v>1149</v>
      </c>
      <c r="H532" s="1">
        <v>44906</v>
      </c>
      <c r="I532" s="1">
        <v>44910</v>
      </c>
      <c r="J532" s="3">
        <v>2904.01</v>
      </c>
      <c r="K532" s="4">
        <f t="shared" si="42"/>
        <v>4</v>
      </c>
      <c r="L532" t="str">
        <f t="shared" si="38"/>
        <v>Dec</v>
      </c>
      <c r="M532">
        <f t="shared" si="40"/>
        <v>2022</v>
      </c>
      <c r="N532">
        <f t="shared" si="41"/>
        <v>77</v>
      </c>
    </row>
    <row r="533" spans="1:14" x14ac:dyDescent="0.3">
      <c r="A533" t="s">
        <v>1182</v>
      </c>
      <c r="B533" t="s">
        <v>1183</v>
      </c>
      <c r="C533" s="1">
        <v>15929</v>
      </c>
      <c r="D533" t="s">
        <v>15</v>
      </c>
      <c r="E533" t="s">
        <v>1132</v>
      </c>
      <c r="F533" t="s">
        <v>295</v>
      </c>
      <c r="G533" t="s">
        <v>1184</v>
      </c>
      <c r="H533" s="1">
        <v>44770</v>
      </c>
      <c r="I533" s="1">
        <v>44799</v>
      </c>
      <c r="J533" s="3">
        <v>2901.89</v>
      </c>
      <c r="K533" s="4">
        <f t="shared" si="42"/>
        <v>29</v>
      </c>
      <c r="L533" t="str">
        <f t="shared" si="38"/>
        <v>Jul</v>
      </c>
      <c r="M533">
        <f t="shared" si="40"/>
        <v>2022</v>
      </c>
      <c r="N533">
        <f t="shared" si="41"/>
        <v>78</v>
      </c>
    </row>
    <row r="534" spans="1:14" x14ac:dyDescent="0.3">
      <c r="A534" t="s">
        <v>1185</v>
      </c>
      <c r="B534" t="s">
        <v>1186</v>
      </c>
      <c r="C534" s="1">
        <v>17744</v>
      </c>
      <c r="D534" t="s">
        <v>21</v>
      </c>
      <c r="E534" t="s">
        <v>1132</v>
      </c>
      <c r="F534" t="s">
        <v>1187</v>
      </c>
      <c r="G534" t="s">
        <v>1188</v>
      </c>
      <c r="H534" s="1">
        <v>45147</v>
      </c>
      <c r="I534" s="1">
        <v>45158</v>
      </c>
      <c r="J534" s="3">
        <v>2895.43</v>
      </c>
      <c r="K534" s="4">
        <f t="shared" si="42"/>
        <v>11</v>
      </c>
      <c r="L534" t="str">
        <f t="shared" si="38"/>
        <v>Aug</v>
      </c>
      <c r="M534">
        <f t="shared" si="40"/>
        <v>2023</v>
      </c>
      <c r="N534">
        <f t="shared" si="41"/>
        <v>75</v>
      </c>
    </row>
    <row r="535" spans="1:14" x14ac:dyDescent="0.3">
      <c r="A535" t="s">
        <v>1189</v>
      </c>
      <c r="B535" t="s">
        <v>1190</v>
      </c>
      <c r="C535" s="1">
        <v>39932</v>
      </c>
      <c r="D535" t="s">
        <v>21</v>
      </c>
      <c r="E535" t="s">
        <v>952</v>
      </c>
      <c r="F535" t="s">
        <v>953</v>
      </c>
      <c r="G535" t="s">
        <v>957</v>
      </c>
      <c r="H535" s="1">
        <v>45358</v>
      </c>
      <c r="I535" s="1">
        <v>45364</v>
      </c>
      <c r="J535" s="3">
        <v>2890.43</v>
      </c>
      <c r="K535" s="4">
        <f t="shared" si="42"/>
        <v>6</v>
      </c>
      <c r="L535" t="str">
        <f t="shared" si="38"/>
        <v>Mar</v>
      </c>
      <c r="M535">
        <f t="shared" si="40"/>
        <v>2024</v>
      </c>
      <c r="N535">
        <f t="shared" si="41"/>
        <v>14</v>
      </c>
    </row>
    <row r="536" spans="1:14" x14ac:dyDescent="0.3">
      <c r="A536" t="s">
        <v>1191</v>
      </c>
      <c r="B536" t="s">
        <v>1192</v>
      </c>
      <c r="C536" s="1">
        <v>14258</v>
      </c>
      <c r="D536" t="s">
        <v>15</v>
      </c>
      <c r="E536" t="s">
        <v>1132</v>
      </c>
      <c r="F536" t="s">
        <v>1187</v>
      </c>
      <c r="G536" t="s">
        <v>1133</v>
      </c>
      <c r="H536" s="1">
        <v>45110</v>
      </c>
      <c r="I536" s="1">
        <v>45128</v>
      </c>
      <c r="J536" s="3">
        <v>2890.07</v>
      </c>
      <c r="K536" s="4">
        <f t="shared" si="42"/>
        <v>18</v>
      </c>
      <c r="L536" t="str">
        <f t="shared" si="38"/>
        <v>Jul</v>
      </c>
      <c r="M536">
        <f t="shared" si="40"/>
        <v>2023</v>
      </c>
      <c r="N536">
        <f t="shared" si="41"/>
        <v>84</v>
      </c>
    </row>
    <row r="537" spans="1:14" x14ac:dyDescent="0.3">
      <c r="A537" t="s">
        <v>1193</v>
      </c>
      <c r="B537" t="s">
        <v>1194</v>
      </c>
      <c r="C537" s="1">
        <v>24447</v>
      </c>
      <c r="D537" t="s">
        <v>15</v>
      </c>
      <c r="E537" t="s">
        <v>952</v>
      </c>
      <c r="F537" t="s">
        <v>968</v>
      </c>
      <c r="G537" t="s">
        <v>969</v>
      </c>
      <c r="H537" s="1">
        <v>45325</v>
      </c>
      <c r="I537" s="1">
        <v>45344</v>
      </c>
      <c r="J537" s="3">
        <v>2886.37</v>
      </c>
      <c r="K537" s="4">
        <f t="shared" si="42"/>
        <v>19</v>
      </c>
      <c r="L537" t="str">
        <f t="shared" si="38"/>
        <v>Feb</v>
      </c>
      <c r="M537">
        <f t="shared" si="40"/>
        <v>2024</v>
      </c>
      <c r="N537">
        <f t="shared" si="41"/>
        <v>57</v>
      </c>
    </row>
    <row r="538" spans="1:14" x14ac:dyDescent="0.3">
      <c r="A538" t="s">
        <v>1195</v>
      </c>
      <c r="B538" t="s">
        <v>1196</v>
      </c>
      <c r="C538" s="1">
        <v>37517</v>
      </c>
      <c r="D538" t="s">
        <v>21</v>
      </c>
      <c r="E538" t="s">
        <v>1138</v>
      </c>
      <c r="F538" t="s">
        <v>1139</v>
      </c>
      <c r="G538" t="s">
        <v>1140</v>
      </c>
      <c r="H538" s="1">
        <v>44914</v>
      </c>
      <c r="I538" s="1">
        <v>44919</v>
      </c>
      <c r="J538" s="3">
        <v>2881.96</v>
      </c>
      <c r="K538" s="4">
        <f t="shared" si="42"/>
        <v>5</v>
      </c>
      <c r="L538" t="str">
        <f t="shared" si="38"/>
        <v>Dec</v>
      </c>
      <c r="M538">
        <f t="shared" si="40"/>
        <v>2022</v>
      </c>
      <c r="N538">
        <f t="shared" si="41"/>
        <v>20</v>
      </c>
    </row>
    <row r="539" spans="1:14" x14ac:dyDescent="0.3">
      <c r="A539" t="s">
        <v>1197</v>
      </c>
      <c r="B539" t="s">
        <v>1198</v>
      </c>
      <c r="C539" s="1">
        <v>16738</v>
      </c>
      <c r="D539" t="s">
        <v>15</v>
      </c>
      <c r="E539" t="s">
        <v>1138</v>
      </c>
      <c r="F539" t="s">
        <v>1139</v>
      </c>
      <c r="G539" t="s">
        <v>1199</v>
      </c>
      <c r="H539" s="1">
        <v>44738</v>
      </c>
      <c r="I539" s="1">
        <v>44764</v>
      </c>
      <c r="J539" s="3">
        <v>2871.05</v>
      </c>
      <c r="K539" s="4">
        <f t="shared" si="42"/>
        <v>26</v>
      </c>
      <c r="L539" t="str">
        <f t="shared" si="38"/>
        <v>Jun</v>
      </c>
      <c r="M539">
        <f t="shared" si="40"/>
        <v>2022</v>
      </c>
      <c r="N539">
        <f t="shared" si="41"/>
        <v>76</v>
      </c>
    </row>
    <row r="540" spans="1:14" x14ac:dyDescent="0.3">
      <c r="A540" t="s">
        <v>1200</v>
      </c>
      <c r="B540" t="s">
        <v>1201</v>
      </c>
      <c r="C540" s="1">
        <v>36005</v>
      </c>
      <c r="D540" t="s">
        <v>15</v>
      </c>
      <c r="E540" t="s">
        <v>1127</v>
      </c>
      <c r="F540" t="s">
        <v>1128</v>
      </c>
      <c r="G540" t="s">
        <v>1154</v>
      </c>
      <c r="H540" s="1">
        <v>44877</v>
      </c>
      <c r="I540" s="1">
        <v>44894</v>
      </c>
      <c r="J540" s="3">
        <v>2871.05</v>
      </c>
      <c r="K540" s="4">
        <f t="shared" si="42"/>
        <v>17</v>
      </c>
      <c r="L540" t="str">
        <f t="shared" si="38"/>
        <v>Nov</v>
      </c>
      <c r="M540">
        <f t="shared" si="40"/>
        <v>2022</v>
      </c>
      <c r="N540">
        <f t="shared" si="41"/>
        <v>24</v>
      </c>
    </row>
    <row r="541" spans="1:14" x14ac:dyDescent="0.3">
      <c r="A541" t="s">
        <v>1202</v>
      </c>
      <c r="B541" t="s">
        <v>1203</v>
      </c>
      <c r="C541" s="1">
        <v>32733</v>
      </c>
      <c r="D541" t="s">
        <v>15</v>
      </c>
      <c r="E541" t="s">
        <v>960</v>
      </c>
      <c r="F541" t="s">
        <v>985</v>
      </c>
      <c r="G541" t="s">
        <v>1018</v>
      </c>
      <c r="H541" s="1">
        <v>44958</v>
      </c>
      <c r="I541" s="1">
        <v>44987</v>
      </c>
      <c r="J541" s="3">
        <v>2870.48</v>
      </c>
      <c r="K541" s="4">
        <f t="shared" si="42"/>
        <v>29</v>
      </c>
      <c r="L541" t="str">
        <f t="shared" si="38"/>
        <v>Feb</v>
      </c>
      <c r="M541">
        <f t="shared" si="40"/>
        <v>2023</v>
      </c>
      <c r="N541">
        <f t="shared" si="41"/>
        <v>33</v>
      </c>
    </row>
    <row r="542" spans="1:14" x14ac:dyDescent="0.3">
      <c r="A542" t="s">
        <v>1204</v>
      </c>
      <c r="B542" t="s">
        <v>1205</v>
      </c>
      <c r="C542" s="1">
        <v>44474</v>
      </c>
      <c r="D542" t="s">
        <v>21</v>
      </c>
      <c r="E542" t="s">
        <v>1161</v>
      </c>
      <c r="F542" t="s">
        <v>683</v>
      </c>
      <c r="G542" t="s">
        <v>957</v>
      </c>
      <c r="H542" s="1">
        <v>45058</v>
      </c>
      <c r="I542" s="1">
        <v>45080</v>
      </c>
      <c r="J542" s="3">
        <v>2864.79</v>
      </c>
      <c r="K542" s="4">
        <f t="shared" si="42"/>
        <v>22</v>
      </c>
      <c r="L542" t="str">
        <f t="shared" si="38"/>
        <v>May</v>
      </c>
      <c r="M542">
        <f t="shared" si="40"/>
        <v>2023</v>
      </c>
      <c r="N542">
        <f t="shared" si="41"/>
        <v>1</v>
      </c>
    </row>
    <row r="543" spans="1:14" x14ac:dyDescent="0.3">
      <c r="A543" t="s">
        <v>1206</v>
      </c>
      <c r="B543" t="s">
        <v>1207</v>
      </c>
      <c r="C543" s="1">
        <v>28637</v>
      </c>
      <c r="D543" t="s">
        <v>15</v>
      </c>
      <c r="E543" t="s">
        <v>673</v>
      </c>
      <c r="F543" t="s">
        <v>84</v>
      </c>
      <c r="G543" t="s">
        <v>721</v>
      </c>
      <c r="H543" s="1">
        <v>45290</v>
      </c>
      <c r="I543" s="1">
        <v>45305</v>
      </c>
      <c r="J543" s="3">
        <v>2861.71</v>
      </c>
      <c r="K543" s="4">
        <f t="shared" si="42"/>
        <v>15</v>
      </c>
      <c r="L543" t="str">
        <f t="shared" si="38"/>
        <v>Dec</v>
      </c>
      <c r="M543">
        <f t="shared" si="40"/>
        <v>2023</v>
      </c>
      <c r="N543">
        <f t="shared" si="41"/>
        <v>45</v>
      </c>
    </row>
    <row r="544" spans="1:14" x14ac:dyDescent="0.3">
      <c r="A544" t="s">
        <v>1208</v>
      </c>
      <c r="B544" t="s">
        <v>1209</v>
      </c>
      <c r="C544" s="1">
        <v>35229</v>
      </c>
      <c r="D544" t="s">
        <v>15</v>
      </c>
      <c r="E544" t="s">
        <v>1132</v>
      </c>
      <c r="F544" t="s">
        <v>1187</v>
      </c>
      <c r="G544" t="s">
        <v>1188</v>
      </c>
      <c r="H544" s="1">
        <v>44764</v>
      </c>
      <c r="I544" s="1">
        <v>44793</v>
      </c>
      <c r="J544" s="3">
        <v>2843.93</v>
      </c>
      <c r="K544" s="4">
        <f t="shared" si="42"/>
        <v>29</v>
      </c>
      <c r="L544" t="str">
        <f t="shared" si="38"/>
        <v>Jul</v>
      </c>
      <c r="M544">
        <f t="shared" si="40"/>
        <v>2022</v>
      </c>
      <c r="N544">
        <f t="shared" si="41"/>
        <v>26</v>
      </c>
    </row>
    <row r="545" spans="1:14" x14ac:dyDescent="0.3">
      <c r="A545" t="s">
        <v>1210</v>
      </c>
      <c r="B545" t="s">
        <v>1211</v>
      </c>
      <c r="C545" s="1">
        <v>31675</v>
      </c>
      <c r="D545" t="s">
        <v>21</v>
      </c>
      <c r="E545" t="s">
        <v>952</v>
      </c>
      <c r="F545" t="s">
        <v>953</v>
      </c>
      <c r="G545" t="s">
        <v>954</v>
      </c>
      <c r="H545" s="1">
        <v>45250</v>
      </c>
      <c r="I545" s="1">
        <v>45269</v>
      </c>
      <c r="J545" s="3">
        <v>2838.86</v>
      </c>
      <c r="K545" s="4">
        <f t="shared" si="42"/>
        <v>19</v>
      </c>
      <c r="L545" t="str">
        <f t="shared" si="38"/>
        <v>Nov</v>
      </c>
      <c r="M545">
        <f t="shared" si="40"/>
        <v>2023</v>
      </c>
      <c r="N545">
        <f t="shared" si="41"/>
        <v>37</v>
      </c>
    </row>
    <row r="546" spans="1:14" x14ac:dyDescent="0.3">
      <c r="A546" t="s">
        <v>1212</v>
      </c>
      <c r="B546" t="s">
        <v>1213</v>
      </c>
      <c r="C546" s="1">
        <v>24083</v>
      </c>
      <c r="D546" t="s">
        <v>21</v>
      </c>
      <c r="E546" t="s">
        <v>1214</v>
      </c>
      <c r="F546" t="s">
        <v>1215</v>
      </c>
      <c r="G546" t="s">
        <v>1216</v>
      </c>
      <c r="H546" s="1">
        <v>44789</v>
      </c>
      <c r="I546" s="1">
        <v>44819</v>
      </c>
      <c r="J546" s="3">
        <v>2837.71</v>
      </c>
      <c r="K546" s="4">
        <f t="shared" si="42"/>
        <v>30</v>
      </c>
      <c r="L546" t="str">
        <f t="shared" si="38"/>
        <v>Aug</v>
      </c>
      <c r="M546">
        <f t="shared" si="40"/>
        <v>2022</v>
      </c>
      <c r="N546">
        <f t="shared" si="41"/>
        <v>56</v>
      </c>
    </row>
    <row r="547" spans="1:14" x14ac:dyDescent="0.3">
      <c r="A547" t="s">
        <v>1217</v>
      </c>
      <c r="B547" t="s">
        <v>1218</v>
      </c>
      <c r="C547" s="1">
        <v>18847</v>
      </c>
      <c r="D547" t="s">
        <v>15</v>
      </c>
      <c r="E547" t="s">
        <v>1171</v>
      </c>
      <c r="F547" t="s">
        <v>1128</v>
      </c>
      <c r="G547" t="s">
        <v>1179</v>
      </c>
      <c r="H547" s="1">
        <v>45072</v>
      </c>
      <c r="I547" s="1">
        <v>45080</v>
      </c>
      <c r="J547" s="3">
        <v>2831.57</v>
      </c>
      <c r="K547" s="4">
        <f t="shared" si="42"/>
        <v>8</v>
      </c>
      <c r="L547" t="str">
        <f t="shared" si="38"/>
        <v>May</v>
      </c>
      <c r="M547">
        <f t="shared" si="40"/>
        <v>2023</v>
      </c>
      <c r="N547">
        <f t="shared" si="41"/>
        <v>71</v>
      </c>
    </row>
    <row r="548" spans="1:14" x14ac:dyDescent="0.3">
      <c r="A548" t="s">
        <v>1219</v>
      </c>
      <c r="B548" t="s">
        <v>1220</v>
      </c>
      <c r="C548" s="1">
        <v>42237</v>
      </c>
      <c r="D548" t="s">
        <v>21</v>
      </c>
      <c r="E548" t="s">
        <v>2144</v>
      </c>
      <c r="F548" t="s">
        <v>295</v>
      </c>
      <c r="G548" t="s">
        <v>1149</v>
      </c>
      <c r="H548" s="1">
        <v>45022</v>
      </c>
      <c r="I548" s="1">
        <v>45026</v>
      </c>
      <c r="J548" s="3">
        <v>2830.14</v>
      </c>
      <c r="K548" s="4">
        <f t="shared" si="42"/>
        <v>4</v>
      </c>
      <c r="L548" t="str">
        <f t="shared" si="38"/>
        <v>Apr</v>
      </c>
      <c r="M548">
        <f t="shared" si="40"/>
        <v>2023</v>
      </c>
      <c r="N548">
        <f t="shared" si="41"/>
        <v>7</v>
      </c>
    </row>
    <row r="549" spans="1:14" x14ac:dyDescent="0.3">
      <c r="A549" t="s">
        <v>1221</v>
      </c>
      <c r="B549" t="s">
        <v>1222</v>
      </c>
      <c r="C549" s="1">
        <v>22489</v>
      </c>
      <c r="D549" t="s">
        <v>15</v>
      </c>
      <c r="E549" t="s">
        <v>1132</v>
      </c>
      <c r="F549" t="s">
        <v>295</v>
      </c>
      <c r="G549" t="s">
        <v>1133</v>
      </c>
      <c r="H549" s="1">
        <v>44435</v>
      </c>
      <c r="I549" s="1">
        <v>44439</v>
      </c>
      <c r="J549" s="3">
        <v>2822.24</v>
      </c>
      <c r="K549" s="4">
        <f t="shared" si="42"/>
        <v>4</v>
      </c>
      <c r="L549" t="str">
        <f t="shared" si="38"/>
        <v>Aug</v>
      </c>
      <c r="M549">
        <f t="shared" si="40"/>
        <v>2021</v>
      </c>
      <c r="N549">
        <f t="shared" si="41"/>
        <v>60</v>
      </c>
    </row>
    <row r="550" spans="1:14" x14ac:dyDescent="0.3">
      <c r="A550" s="2" t="s">
        <v>1223</v>
      </c>
      <c r="B550" t="s">
        <v>1224</v>
      </c>
      <c r="C550" s="1">
        <v>10986</v>
      </c>
      <c r="D550" t="s">
        <v>15</v>
      </c>
      <c r="E550" t="s">
        <v>1214</v>
      </c>
      <c r="F550" t="s">
        <v>84</v>
      </c>
      <c r="G550" t="s">
        <v>1225</v>
      </c>
      <c r="H550" s="1">
        <v>45134</v>
      </c>
      <c r="I550" s="1">
        <v>45156</v>
      </c>
      <c r="J550" s="3">
        <v>2821.34</v>
      </c>
      <c r="K550" s="4">
        <f t="shared" si="42"/>
        <v>22</v>
      </c>
      <c r="L550" t="str">
        <f t="shared" si="38"/>
        <v>Jul</v>
      </c>
      <c r="M550">
        <f t="shared" si="40"/>
        <v>2023</v>
      </c>
      <c r="N550">
        <f t="shared" si="41"/>
        <v>93</v>
      </c>
    </row>
    <row r="551" spans="1:14" x14ac:dyDescent="0.3">
      <c r="A551" t="s">
        <v>1226</v>
      </c>
      <c r="B551" t="s">
        <v>1227</v>
      </c>
      <c r="C551" s="1">
        <v>42674</v>
      </c>
      <c r="D551" t="s">
        <v>15</v>
      </c>
      <c r="E551" t="s">
        <v>2144</v>
      </c>
      <c r="F551" t="s">
        <v>295</v>
      </c>
      <c r="G551" t="s">
        <v>1228</v>
      </c>
      <c r="H551" s="1">
        <v>44426</v>
      </c>
      <c r="I551" s="1">
        <v>44454</v>
      </c>
      <c r="J551" s="3">
        <v>2820.66</v>
      </c>
      <c r="K551" s="4">
        <f t="shared" si="42"/>
        <v>28</v>
      </c>
      <c r="L551" t="str">
        <f t="shared" si="38"/>
        <v>Aug</v>
      </c>
      <c r="M551">
        <f t="shared" si="40"/>
        <v>2021</v>
      </c>
      <c r="N551">
        <f t="shared" si="41"/>
        <v>4</v>
      </c>
    </row>
    <row r="552" spans="1:14" x14ac:dyDescent="0.3">
      <c r="A552" t="s">
        <v>1229</v>
      </c>
      <c r="B552" t="s">
        <v>1230</v>
      </c>
      <c r="C552" s="1">
        <v>11966</v>
      </c>
      <c r="D552" t="s">
        <v>21</v>
      </c>
      <c r="E552" t="s">
        <v>1138</v>
      </c>
      <c r="F552" t="s">
        <v>1231</v>
      </c>
      <c r="G552" t="s">
        <v>1232</v>
      </c>
      <c r="H552" s="1">
        <v>44652</v>
      </c>
      <c r="I552" s="1">
        <v>44678</v>
      </c>
      <c r="J552" s="3">
        <v>2807.08</v>
      </c>
      <c r="K552" s="4">
        <f t="shared" si="42"/>
        <v>26</v>
      </c>
      <c r="L552" t="str">
        <f t="shared" si="38"/>
        <v>Apr</v>
      </c>
      <c r="M552">
        <f t="shared" si="40"/>
        <v>2022</v>
      </c>
      <c r="N552">
        <f t="shared" si="41"/>
        <v>89</v>
      </c>
    </row>
    <row r="553" spans="1:14" x14ac:dyDescent="0.3">
      <c r="A553" t="s">
        <v>1233</v>
      </c>
      <c r="B553" t="s">
        <v>1234</v>
      </c>
      <c r="C553" s="1">
        <v>24202</v>
      </c>
      <c r="D553" t="s">
        <v>21</v>
      </c>
      <c r="E553" t="s">
        <v>1147</v>
      </c>
      <c r="F553" t="s">
        <v>1235</v>
      </c>
      <c r="G553" t="s">
        <v>1236</v>
      </c>
      <c r="H553" s="1">
        <v>45117</v>
      </c>
      <c r="I553" s="1">
        <v>45138</v>
      </c>
      <c r="J553" s="3">
        <v>2805.8</v>
      </c>
      <c r="K553" s="4">
        <f t="shared" si="42"/>
        <v>21</v>
      </c>
      <c r="L553" t="str">
        <f t="shared" si="38"/>
        <v>Jul</v>
      </c>
      <c r="M553">
        <f t="shared" si="40"/>
        <v>2023</v>
      </c>
      <c r="N553">
        <f t="shared" si="41"/>
        <v>57</v>
      </c>
    </row>
    <row r="554" spans="1:14" x14ac:dyDescent="0.3">
      <c r="A554" t="s">
        <v>1237</v>
      </c>
      <c r="B554" t="s">
        <v>1238</v>
      </c>
      <c r="C554" s="1">
        <v>24134</v>
      </c>
      <c r="D554" t="s">
        <v>21</v>
      </c>
      <c r="E554" t="s">
        <v>952</v>
      </c>
      <c r="F554" t="s">
        <v>953</v>
      </c>
      <c r="G554" t="s">
        <v>954</v>
      </c>
      <c r="H554" s="1">
        <v>44462</v>
      </c>
      <c r="I554" s="1">
        <v>44467</v>
      </c>
      <c r="J554" s="3">
        <v>2802.46</v>
      </c>
      <c r="K554" s="4">
        <f t="shared" si="42"/>
        <v>5</v>
      </c>
      <c r="L554" t="str">
        <f t="shared" si="38"/>
        <v>Sep</v>
      </c>
      <c r="M554">
        <f t="shared" si="40"/>
        <v>2021</v>
      </c>
      <c r="N554">
        <f t="shared" si="41"/>
        <v>55</v>
      </c>
    </row>
    <row r="555" spans="1:14" x14ac:dyDescent="0.3">
      <c r="A555" t="s">
        <v>1239</v>
      </c>
      <c r="B555" t="s">
        <v>1240</v>
      </c>
      <c r="C555" s="1">
        <v>30175</v>
      </c>
      <c r="D555" t="s">
        <v>21</v>
      </c>
      <c r="E555" t="s">
        <v>952</v>
      </c>
      <c r="F555" t="s">
        <v>953</v>
      </c>
      <c r="G555" t="s">
        <v>954</v>
      </c>
      <c r="H555" s="1">
        <v>45204</v>
      </c>
      <c r="I555" s="1">
        <v>45218</v>
      </c>
      <c r="J555" s="3">
        <v>2801.59</v>
      </c>
      <c r="K555" s="4">
        <f t="shared" si="42"/>
        <v>14</v>
      </c>
      <c r="L555" t="str">
        <f t="shared" si="38"/>
        <v>Oct</v>
      </c>
      <c r="M555">
        <f t="shared" si="40"/>
        <v>2023</v>
      </c>
      <c r="N555">
        <f t="shared" si="41"/>
        <v>41</v>
      </c>
    </row>
    <row r="556" spans="1:14" x14ac:dyDescent="0.3">
      <c r="A556" t="s">
        <v>1241</v>
      </c>
      <c r="B556" t="s">
        <v>1242</v>
      </c>
      <c r="C556" s="1">
        <v>11892</v>
      </c>
      <c r="D556" t="s">
        <v>15</v>
      </c>
      <c r="E556" t="s">
        <v>1138</v>
      </c>
      <c r="F556" t="s">
        <v>1243</v>
      </c>
      <c r="G556" t="s">
        <v>1232</v>
      </c>
      <c r="H556" s="1">
        <v>44605</v>
      </c>
      <c r="I556" s="1">
        <v>44631</v>
      </c>
      <c r="J556" s="3">
        <v>2794.2</v>
      </c>
      <c r="K556" s="4">
        <f t="shared" si="42"/>
        <v>26</v>
      </c>
      <c r="L556" t="str">
        <f t="shared" si="38"/>
        <v>Feb</v>
      </c>
      <c r="M556">
        <f t="shared" si="40"/>
        <v>2022</v>
      </c>
      <c r="N556">
        <f t="shared" si="41"/>
        <v>89</v>
      </c>
    </row>
    <row r="557" spans="1:14" x14ac:dyDescent="0.3">
      <c r="A557" s="2" t="s">
        <v>1244</v>
      </c>
      <c r="B557" t="s">
        <v>1245</v>
      </c>
      <c r="C557" s="1">
        <v>26772</v>
      </c>
      <c r="D557" t="s">
        <v>21</v>
      </c>
      <c r="E557" t="s">
        <v>922</v>
      </c>
      <c r="F557" t="s">
        <v>84</v>
      </c>
      <c r="G557" t="s">
        <v>930</v>
      </c>
      <c r="H557" s="1">
        <v>45424</v>
      </c>
      <c r="I557" s="1">
        <v>45444</v>
      </c>
      <c r="J557" s="3">
        <v>2788.8</v>
      </c>
      <c r="K557" s="4">
        <f t="shared" si="42"/>
        <v>20</v>
      </c>
      <c r="L557" t="str">
        <f t="shared" ref="L557:L618" si="43">TEXT(H557,"mmm")</f>
        <v>May</v>
      </c>
      <c r="M557">
        <f t="shared" si="40"/>
        <v>2024</v>
      </c>
      <c r="N557">
        <f t="shared" si="41"/>
        <v>51</v>
      </c>
    </row>
    <row r="558" spans="1:14" x14ac:dyDescent="0.3">
      <c r="A558" t="s">
        <v>1246</v>
      </c>
      <c r="B558" t="s">
        <v>1247</v>
      </c>
      <c r="C558" s="1">
        <v>30091</v>
      </c>
      <c r="D558" t="s">
        <v>21</v>
      </c>
      <c r="E558" t="s">
        <v>1161</v>
      </c>
      <c r="F558" t="s">
        <v>683</v>
      </c>
      <c r="G558" t="s">
        <v>1248</v>
      </c>
      <c r="H558" s="1">
        <v>44478</v>
      </c>
      <c r="I558" s="1">
        <v>44485</v>
      </c>
      <c r="J558" s="3">
        <v>2783.14</v>
      </c>
      <c r="K558" s="4">
        <f t="shared" si="42"/>
        <v>7</v>
      </c>
      <c r="L558" t="str">
        <f t="shared" si="43"/>
        <v>Oct</v>
      </c>
      <c r="M558">
        <f t="shared" si="40"/>
        <v>2021</v>
      </c>
      <c r="N558">
        <f t="shared" si="41"/>
        <v>39</v>
      </c>
    </row>
    <row r="559" spans="1:14" x14ac:dyDescent="0.3">
      <c r="A559" t="s">
        <v>1249</v>
      </c>
      <c r="B559" t="s">
        <v>1250</v>
      </c>
      <c r="C559" s="1">
        <v>15727</v>
      </c>
      <c r="D559" t="s">
        <v>21</v>
      </c>
      <c r="E559" t="s">
        <v>2144</v>
      </c>
      <c r="F559" t="s">
        <v>295</v>
      </c>
      <c r="G559" t="s">
        <v>1149</v>
      </c>
      <c r="H559" s="1">
        <v>44827</v>
      </c>
      <c r="I559" s="1">
        <v>44850</v>
      </c>
      <c r="J559" s="3">
        <v>2782.89</v>
      </c>
      <c r="K559" s="4">
        <f t="shared" si="42"/>
        <v>23</v>
      </c>
      <c r="L559" t="str">
        <f t="shared" si="43"/>
        <v>Sep</v>
      </c>
      <c r="M559">
        <f t="shared" si="40"/>
        <v>2022</v>
      </c>
      <c r="N559">
        <f t="shared" si="41"/>
        <v>79</v>
      </c>
    </row>
    <row r="560" spans="1:14" x14ac:dyDescent="0.3">
      <c r="A560" t="s">
        <v>1251</v>
      </c>
      <c r="B560" t="s">
        <v>1252</v>
      </c>
      <c r="C560" s="1">
        <v>15771</v>
      </c>
      <c r="D560" t="s">
        <v>15</v>
      </c>
      <c r="E560" t="s">
        <v>682</v>
      </c>
      <c r="F560" t="s">
        <v>746</v>
      </c>
      <c r="G560" t="s">
        <v>684</v>
      </c>
      <c r="H560" s="1">
        <v>45048</v>
      </c>
      <c r="I560" s="1">
        <v>45062</v>
      </c>
      <c r="J560" s="3">
        <v>2780.83</v>
      </c>
      <c r="K560" s="4">
        <f t="shared" si="42"/>
        <v>14</v>
      </c>
      <c r="L560" t="str">
        <f t="shared" si="43"/>
        <v>May</v>
      </c>
      <c r="M560">
        <f t="shared" si="40"/>
        <v>2023</v>
      </c>
      <c r="N560">
        <f t="shared" si="41"/>
        <v>80</v>
      </c>
    </row>
    <row r="561" spans="1:14" x14ac:dyDescent="0.3">
      <c r="A561" t="s">
        <v>1253</v>
      </c>
      <c r="B561" t="s">
        <v>1254</v>
      </c>
      <c r="C561" s="1">
        <v>24294</v>
      </c>
      <c r="D561" t="s">
        <v>21</v>
      </c>
      <c r="E561" t="s">
        <v>922</v>
      </c>
      <c r="F561" t="s">
        <v>84</v>
      </c>
      <c r="G561" t="s">
        <v>930</v>
      </c>
      <c r="H561" s="1">
        <v>44623</v>
      </c>
      <c r="I561" s="1">
        <v>44641</v>
      </c>
      <c r="J561" s="3">
        <v>2780.21</v>
      </c>
      <c r="K561" s="4">
        <f t="shared" si="42"/>
        <v>18</v>
      </c>
      <c r="L561" t="str">
        <f t="shared" si="43"/>
        <v>Mar</v>
      </c>
      <c r="M561">
        <f t="shared" si="40"/>
        <v>2022</v>
      </c>
      <c r="N561">
        <f t="shared" si="41"/>
        <v>55</v>
      </c>
    </row>
    <row r="562" spans="1:14" x14ac:dyDescent="0.3">
      <c r="A562" t="s">
        <v>1255</v>
      </c>
      <c r="B562" t="s">
        <v>1256</v>
      </c>
      <c r="C562" s="1">
        <v>32372</v>
      </c>
      <c r="D562" t="s">
        <v>21</v>
      </c>
      <c r="E562" t="s">
        <v>936</v>
      </c>
      <c r="F562" t="s">
        <v>286</v>
      </c>
      <c r="G562" t="s">
        <v>976</v>
      </c>
      <c r="H562" s="1">
        <v>44985</v>
      </c>
      <c r="I562" s="1">
        <v>45002</v>
      </c>
      <c r="J562" s="3">
        <v>2777.99</v>
      </c>
      <c r="K562" s="4">
        <f t="shared" si="42"/>
        <v>17</v>
      </c>
      <c r="L562" t="str">
        <f t="shared" si="43"/>
        <v>Feb</v>
      </c>
      <c r="M562">
        <f t="shared" si="40"/>
        <v>2023</v>
      </c>
      <c r="N562">
        <f t="shared" si="41"/>
        <v>34</v>
      </c>
    </row>
    <row r="563" spans="1:14" x14ac:dyDescent="0.3">
      <c r="A563" t="s">
        <v>1257</v>
      </c>
      <c r="B563" t="s">
        <v>125</v>
      </c>
      <c r="C563" s="1">
        <v>32169</v>
      </c>
      <c r="D563" t="s">
        <v>15</v>
      </c>
      <c r="E563" t="s">
        <v>1127</v>
      </c>
      <c r="F563" t="s">
        <v>91</v>
      </c>
      <c r="G563" t="s">
        <v>1154</v>
      </c>
      <c r="H563" s="1">
        <v>45338</v>
      </c>
      <c r="I563" s="1">
        <v>45348</v>
      </c>
      <c r="J563" s="3">
        <v>2775.55</v>
      </c>
      <c r="K563" s="4">
        <f t="shared" si="42"/>
        <v>10</v>
      </c>
      <c r="L563" t="str">
        <f t="shared" si="43"/>
        <v>Feb</v>
      </c>
      <c r="M563">
        <f t="shared" si="40"/>
        <v>2024</v>
      </c>
      <c r="N563">
        <f t="shared" si="41"/>
        <v>36</v>
      </c>
    </row>
    <row r="564" spans="1:14" x14ac:dyDescent="0.3">
      <c r="A564" t="s">
        <v>1258</v>
      </c>
      <c r="B564" t="s">
        <v>1259</v>
      </c>
      <c r="C564" s="1">
        <v>19904</v>
      </c>
      <c r="D564" t="s">
        <v>15</v>
      </c>
      <c r="E564" t="s">
        <v>1161</v>
      </c>
      <c r="F564" t="s">
        <v>683</v>
      </c>
      <c r="G564" t="s">
        <v>957</v>
      </c>
      <c r="H564" s="1">
        <v>45388</v>
      </c>
      <c r="I564" s="1">
        <v>45393</v>
      </c>
      <c r="J564" s="3">
        <v>2731.56</v>
      </c>
      <c r="K564" s="4">
        <f t="shared" si="42"/>
        <v>5</v>
      </c>
      <c r="L564" t="str">
        <f t="shared" si="43"/>
        <v>Apr</v>
      </c>
      <c r="M564">
        <f t="shared" si="40"/>
        <v>2024</v>
      </c>
      <c r="N564">
        <f t="shared" si="41"/>
        <v>69</v>
      </c>
    </row>
    <row r="565" spans="1:14" x14ac:dyDescent="0.3">
      <c r="A565" t="s">
        <v>1260</v>
      </c>
      <c r="B565" t="s">
        <v>1261</v>
      </c>
      <c r="C565" s="1">
        <v>21517</v>
      </c>
      <c r="D565" t="s">
        <v>21</v>
      </c>
      <c r="E565" t="s">
        <v>1214</v>
      </c>
      <c r="F565" t="s">
        <v>84</v>
      </c>
      <c r="G565" t="s">
        <v>1216</v>
      </c>
      <c r="H565" s="1">
        <v>44460</v>
      </c>
      <c r="I565" s="1">
        <v>44465</v>
      </c>
      <c r="J565" s="3">
        <v>2723.7</v>
      </c>
      <c r="K565" s="4">
        <f t="shared" si="42"/>
        <v>5</v>
      </c>
      <c r="L565" t="str">
        <f t="shared" si="43"/>
        <v>Sep</v>
      </c>
      <c r="M565">
        <f t="shared" si="40"/>
        <v>2021</v>
      </c>
      <c r="N565">
        <f t="shared" si="41"/>
        <v>62</v>
      </c>
    </row>
    <row r="566" spans="1:14" x14ac:dyDescent="0.3">
      <c r="A566" t="s">
        <v>1262</v>
      </c>
      <c r="B566" t="s">
        <v>1263</v>
      </c>
      <c r="C566" s="1">
        <v>25877</v>
      </c>
      <c r="D566" t="s">
        <v>21</v>
      </c>
      <c r="E566" t="s">
        <v>2144</v>
      </c>
      <c r="F566" t="s">
        <v>1168</v>
      </c>
      <c r="G566" t="s">
        <v>1228</v>
      </c>
      <c r="H566" s="1">
        <v>45403</v>
      </c>
      <c r="I566" s="1">
        <v>45425</v>
      </c>
      <c r="J566" s="3">
        <v>2711.92</v>
      </c>
      <c r="K566" s="4">
        <f t="shared" si="42"/>
        <v>22</v>
      </c>
      <c r="L566" t="str">
        <f t="shared" si="43"/>
        <v>Apr</v>
      </c>
      <c r="M566">
        <f t="shared" si="40"/>
        <v>2024</v>
      </c>
      <c r="N566">
        <f t="shared" si="41"/>
        <v>53</v>
      </c>
    </row>
    <row r="567" spans="1:14" x14ac:dyDescent="0.3">
      <c r="A567" t="s">
        <v>1264</v>
      </c>
      <c r="B567" t="s">
        <v>1265</v>
      </c>
      <c r="C567" s="1">
        <v>31566</v>
      </c>
      <c r="D567" t="s">
        <v>15</v>
      </c>
      <c r="E567" t="s">
        <v>673</v>
      </c>
      <c r="F567" t="s">
        <v>191</v>
      </c>
      <c r="G567" t="s">
        <v>674</v>
      </c>
      <c r="H567" s="1">
        <v>44899</v>
      </c>
      <c r="I567" s="1">
        <v>44921</v>
      </c>
      <c r="J567" s="3">
        <v>2705.2</v>
      </c>
      <c r="K567" s="4">
        <f t="shared" si="42"/>
        <v>22</v>
      </c>
      <c r="L567" t="str">
        <f t="shared" si="43"/>
        <v>Dec</v>
      </c>
      <c r="M567">
        <f t="shared" si="40"/>
        <v>2022</v>
      </c>
      <c r="N567">
        <f t="shared" si="41"/>
        <v>36</v>
      </c>
    </row>
    <row r="568" spans="1:14" x14ac:dyDescent="0.3">
      <c r="A568" t="s">
        <v>1266</v>
      </c>
      <c r="B568" t="s">
        <v>1267</v>
      </c>
      <c r="C568" s="1">
        <v>31771</v>
      </c>
      <c r="D568" t="s">
        <v>21</v>
      </c>
      <c r="E568" t="s">
        <v>1147</v>
      </c>
      <c r="F568" t="s">
        <v>1128</v>
      </c>
      <c r="G568" t="s">
        <v>1149</v>
      </c>
      <c r="H568" s="1">
        <v>45334</v>
      </c>
      <c r="I568" s="1">
        <v>45349</v>
      </c>
      <c r="J568" s="3">
        <v>2703.13</v>
      </c>
      <c r="K568" s="4">
        <f t="shared" si="42"/>
        <v>15</v>
      </c>
      <c r="L568" t="str">
        <f t="shared" si="43"/>
        <v>Feb</v>
      </c>
      <c r="M568">
        <f t="shared" si="40"/>
        <v>2024</v>
      </c>
      <c r="N568">
        <f t="shared" si="41"/>
        <v>37</v>
      </c>
    </row>
    <row r="569" spans="1:14" x14ac:dyDescent="0.3">
      <c r="A569" t="s">
        <v>1268</v>
      </c>
      <c r="B569" t="s">
        <v>1269</v>
      </c>
      <c r="C569" s="1">
        <v>41348</v>
      </c>
      <c r="D569" t="s">
        <v>15</v>
      </c>
      <c r="E569" t="s">
        <v>922</v>
      </c>
      <c r="F569" t="s">
        <v>84</v>
      </c>
      <c r="G569" t="s">
        <v>933</v>
      </c>
      <c r="H569" s="1">
        <v>45260</v>
      </c>
      <c r="I569" s="1">
        <v>45277</v>
      </c>
      <c r="J569" s="3">
        <v>2694.09</v>
      </c>
      <c r="K569" s="4">
        <f t="shared" si="42"/>
        <v>17</v>
      </c>
      <c r="L569" t="str">
        <f t="shared" si="43"/>
        <v>Nov</v>
      </c>
      <c r="M569">
        <f t="shared" si="40"/>
        <v>2023</v>
      </c>
      <c r="N569">
        <f t="shared" si="41"/>
        <v>10</v>
      </c>
    </row>
    <row r="570" spans="1:14" x14ac:dyDescent="0.3">
      <c r="A570" t="s">
        <v>1270</v>
      </c>
      <c r="B570" t="s">
        <v>1271</v>
      </c>
      <c r="C570" s="1">
        <v>29411</v>
      </c>
      <c r="D570" t="s">
        <v>15</v>
      </c>
      <c r="E570" t="s">
        <v>960</v>
      </c>
      <c r="F570" t="s">
        <v>985</v>
      </c>
      <c r="G570" t="s">
        <v>1018</v>
      </c>
      <c r="H570" s="1">
        <v>44393</v>
      </c>
      <c r="I570" s="1">
        <v>44397</v>
      </c>
      <c r="J570" s="3">
        <v>2691.17</v>
      </c>
      <c r="K570" s="4">
        <f t="shared" si="42"/>
        <v>4</v>
      </c>
      <c r="L570" t="str">
        <f t="shared" si="43"/>
        <v>Jul</v>
      </c>
      <c r="M570">
        <f t="shared" ref="M570:M631" si="44">YEAR(H570)</f>
        <v>2021</v>
      </c>
      <c r="N570">
        <f t="shared" ref="N570:N631" si="45">DATEDIF(C570, H570, "Y")</f>
        <v>41</v>
      </c>
    </row>
    <row r="571" spans="1:14" x14ac:dyDescent="0.3">
      <c r="A571" t="s">
        <v>1272</v>
      </c>
      <c r="B571" t="s">
        <v>1273</v>
      </c>
      <c r="C571" s="1">
        <v>18599</v>
      </c>
      <c r="D571" t="s">
        <v>15</v>
      </c>
      <c r="E571" t="s">
        <v>952</v>
      </c>
      <c r="F571" t="s">
        <v>953</v>
      </c>
      <c r="G571" t="s">
        <v>954</v>
      </c>
      <c r="H571" s="1">
        <v>45018</v>
      </c>
      <c r="I571" s="1">
        <v>45047</v>
      </c>
      <c r="J571" s="3">
        <v>2682.29</v>
      </c>
      <c r="K571" s="4">
        <f t="shared" si="42"/>
        <v>29</v>
      </c>
      <c r="L571" t="str">
        <f t="shared" si="43"/>
        <v>Apr</v>
      </c>
      <c r="M571">
        <f t="shared" si="44"/>
        <v>2023</v>
      </c>
      <c r="N571">
        <f t="shared" si="45"/>
        <v>72</v>
      </c>
    </row>
    <row r="572" spans="1:14" x14ac:dyDescent="0.3">
      <c r="A572" t="s">
        <v>1274</v>
      </c>
      <c r="B572" t="s">
        <v>1275</v>
      </c>
      <c r="C572" s="1">
        <v>37579</v>
      </c>
      <c r="D572" t="s">
        <v>15</v>
      </c>
      <c r="E572" t="s">
        <v>1127</v>
      </c>
      <c r="F572" t="s">
        <v>91</v>
      </c>
      <c r="G572" t="s">
        <v>1276</v>
      </c>
      <c r="H572" s="1">
        <v>44591</v>
      </c>
      <c r="I572" s="1">
        <v>44612</v>
      </c>
      <c r="J572" s="3">
        <v>2681.85</v>
      </c>
      <c r="K572" s="4">
        <f t="shared" si="42"/>
        <v>21</v>
      </c>
      <c r="L572" t="str">
        <f t="shared" si="43"/>
        <v>Jan</v>
      </c>
      <c r="M572">
        <f t="shared" si="44"/>
        <v>2022</v>
      </c>
      <c r="N572">
        <f t="shared" si="45"/>
        <v>19</v>
      </c>
    </row>
    <row r="573" spans="1:14" x14ac:dyDescent="0.3">
      <c r="A573" t="s">
        <v>1277</v>
      </c>
      <c r="B573" t="s">
        <v>1278</v>
      </c>
      <c r="C573" s="1">
        <v>43702</v>
      </c>
      <c r="D573" t="s">
        <v>15</v>
      </c>
      <c r="E573" t="s">
        <v>1132</v>
      </c>
      <c r="F573" t="s">
        <v>295</v>
      </c>
      <c r="G573" t="s">
        <v>1188</v>
      </c>
      <c r="H573" s="1">
        <v>45341</v>
      </c>
      <c r="I573" s="1">
        <v>45360</v>
      </c>
      <c r="J573" s="3">
        <v>2680.41</v>
      </c>
      <c r="K573" s="4">
        <f t="shared" si="42"/>
        <v>19</v>
      </c>
      <c r="L573" t="str">
        <f t="shared" si="43"/>
        <v>Feb</v>
      </c>
      <c r="M573">
        <f t="shared" si="44"/>
        <v>2024</v>
      </c>
      <c r="N573">
        <f t="shared" si="45"/>
        <v>4</v>
      </c>
    </row>
    <row r="574" spans="1:14" x14ac:dyDescent="0.3">
      <c r="A574" t="s">
        <v>1279</v>
      </c>
      <c r="B574" t="s">
        <v>1280</v>
      </c>
      <c r="C574" s="1">
        <v>37844</v>
      </c>
      <c r="D574" t="s">
        <v>15</v>
      </c>
      <c r="E574" t="s">
        <v>952</v>
      </c>
      <c r="F574" t="s">
        <v>953</v>
      </c>
      <c r="G574" t="s">
        <v>954</v>
      </c>
      <c r="H574" s="1">
        <v>44914</v>
      </c>
      <c r="I574" s="1">
        <v>44920</v>
      </c>
      <c r="J574" s="3">
        <v>2678.94</v>
      </c>
      <c r="K574" s="4">
        <f t="shared" si="42"/>
        <v>6</v>
      </c>
      <c r="L574" t="str">
        <f t="shared" si="43"/>
        <v>Dec</v>
      </c>
      <c r="M574">
        <f t="shared" si="44"/>
        <v>2022</v>
      </c>
      <c r="N574">
        <f t="shared" si="45"/>
        <v>19</v>
      </c>
    </row>
    <row r="575" spans="1:14" x14ac:dyDescent="0.3">
      <c r="A575" t="s">
        <v>1281</v>
      </c>
      <c r="B575" t="s">
        <v>1282</v>
      </c>
      <c r="C575" s="1">
        <v>31469</v>
      </c>
      <c r="D575" t="s">
        <v>15</v>
      </c>
      <c r="E575" t="s">
        <v>952</v>
      </c>
      <c r="F575" t="s">
        <v>968</v>
      </c>
      <c r="G575" t="s">
        <v>969</v>
      </c>
      <c r="H575" s="1">
        <v>45228</v>
      </c>
      <c r="I575" s="1">
        <v>45256</v>
      </c>
      <c r="J575" s="3">
        <v>2666.35</v>
      </c>
      <c r="K575" s="4">
        <f t="shared" si="42"/>
        <v>28</v>
      </c>
      <c r="L575" t="str">
        <f t="shared" si="43"/>
        <v>Oct</v>
      </c>
      <c r="M575">
        <f t="shared" si="44"/>
        <v>2023</v>
      </c>
      <c r="N575">
        <f t="shared" si="45"/>
        <v>37</v>
      </c>
    </row>
    <row r="576" spans="1:14" x14ac:dyDescent="0.3">
      <c r="A576" t="s">
        <v>1283</v>
      </c>
      <c r="B576" t="s">
        <v>1284</v>
      </c>
      <c r="C576" s="1">
        <v>13133</v>
      </c>
      <c r="D576" t="s">
        <v>15</v>
      </c>
      <c r="E576" t="s">
        <v>673</v>
      </c>
      <c r="F576" t="s">
        <v>84</v>
      </c>
      <c r="G576" t="s">
        <v>721</v>
      </c>
      <c r="H576" s="1">
        <v>44398</v>
      </c>
      <c r="I576" s="1">
        <v>44412</v>
      </c>
      <c r="J576" s="3">
        <v>2652.33</v>
      </c>
      <c r="K576" s="4">
        <f t="shared" si="42"/>
        <v>14</v>
      </c>
      <c r="L576" t="str">
        <f t="shared" si="43"/>
        <v>Jul</v>
      </c>
      <c r="M576">
        <f t="shared" si="44"/>
        <v>2021</v>
      </c>
      <c r="N576">
        <f t="shared" si="45"/>
        <v>85</v>
      </c>
    </row>
    <row r="577" spans="1:14" x14ac:dyDescent="0.3">
      <c r="A577" t="s">
        <v>1285</v>
      </c>
      <c r="B577" t="s">
        <v>1286</v>
      </c>
      <c r="C577" s="1">
        <v>34847</v>
      </c>
      <c r="D577" t="s">
        <v>15</v>
      </c>
      <c r="E577" t="s">
        <v>1214</v>
      </c>
      <c r="F577" t="s">
        <v>84</v>
      </c>
      <c r="G577" t="s">
        <v>1225</v>
      </c>
      <c r="H577" s="1">
        <v>44878</v>
      </c>
      <c r="I577" s="1">
        <v>44882</v>
      </c>
      <c r="J577" s="3">
        <v>2649.62</v>
      </c>
      <c r="K577" s="4">
        <f t="shared" si="42"/>
        <v>4</v>
      </c>
      <c r="L577" t="str">
        <f t="shared" si="43"/>
        <v>Nov</v>
      </c>
      <c r="M577">
        <f t="shared" si="44"/>
        <v>2022</v>
      </c>
      <c r="N577">
        <f t="shared" si="45"/>
        <v>27</v>
      </c>
    </row>
    <row r="578" spans="1:14" x14ac:dyDescent="0.3">
      <c r="A578" t="s">
        <v>1287</v>
      </c>
      <c r="B578" t="s">
        <v>1288</v>
      </c>
      <c r="C578" s="1">
        <v>24816</v>
      </c>
      <c r="D578" t="s">
        <v>15</v>
      </c>
      <c r="E578" t="s">
        <v>1132</v>
      </c>
      <c r="F578" t="s">
        <v>295</v>
      </c>
      <c r="G578" t="s">
        <v>1133</v>
      </c>
      <c r="H578" s="1">
        <v>44537</v>
      </c>
      <c r="I578" s="1">
        <v>44566</v>
      </c>
      <c r="J578" s="3">
        <v>2648.45</v>
      </c>
      <c r="K578" s="4">
        <f t="shared" si="42"/>
        <v>29</v>
      </c>
      <c r="L578" t="str">
        <f t="shared" si="43"/>
        <v>Dec</v>
      </c>
      <c r="M578">
        <f t="shared" si="44"/>
        <v>2021</v>
      </c>
      <c r="N578">
        <f t="shared" si="45"/>
        <v>53</v>
      </c>
    </row>
    <row r="579" spans="1:14" x14ac:dyDescent="0.3">
      <c r="A579" s="2" t="s">
        <v>1289</v>
      </c>
      <c r="B579" t="s">
        <v>1290</v>
      </c>
      <c r="C579" s="1">
        <v>42439</v>
      </c>
      <c r="D579" t="s">
        <v>21</v>
      </c>
      <c r="E579" t="s">
        <v>1147</v>
      </c>
      <c r="F579" t="s">
        <v>1148</v>
      </c>
      <c r="G579" t="s">
        <v>1236</v>
      </c>
      <c r="H579" s="1">
        <v>44845</v>
      </c>
      <c r="I579" s="1">
        <v>44868</v>
      </c>
      <c r="J579" s="3">
        <v>2644.26</v>
      </c>
      <c r="K579" s="4">
        <f t="shared" si="42"/>
        <v>23</v>
      </c>
      <c r="L579" t="str">
        <f t="shared" si="43"/>
        <v>Oct</v>
      </c>
      <c r="M579">
        <f t="shared" si="44"/>
        <v>2022</v>
      </c>
      <c r="N579">
        <f t="shared" si="45"/>
        <v>6</v>
      </c>
    </row>
    <row r="580" spans="1:14" x14ac:dyDescent="0.3">
      <c r="A580" t="s">
        <v>1291</v>
      </c>
      <c r="B580" t="s">
        <v>1292</v>
      </c>
      <c r="C580" s="1">
        <v>35732</v>
      </c>
      <c r="D580" t="s">
        <v>15</v>
      </c>
      <c r="E580" t="s">
        <v>1138</v>
      </c>
      <c r="F580" t="s">
        <v>1243</v>
      </c>
      <c r="G580" t="s">
        <v>1232</v>
      </c>
      <c r="H580" s="1">
        <v>44749</v>
      </c>
      <c r="I580" s="1">
        <v>44768</v>
      </c>
      <c r="J580" s="3">
        <v>2639.22</v>
      </c>
      <c r="K580" s="4">
        <f t="shared" si="42"/>
        <v>19</v>
      </c>
      <c r="L580" t="str">
        <f t="shared" si="43"/>
        <v>Jul</v>
      </c>
      <c r="M580">
        <f t="shared" si="44"/>
        <v>2022</v>
      </c>
      <c r="N580">
        <f t="shared" si="45"/>
        <v>24</v>
      </c>
    </row>
    <row r="581" spans="1:14" x14ac:dyDescent="0.3">
      <c r="A581" t="s">
        <v>1293</v>
      </c>
      <c r="B581" t="s">
        <v>1294</v>
      </c>
      <c r="C581" s="1">
        <v>38170</v>
      </c>
      <c r="D581" t="s">
        <v>15</v>
      </c>
      <c r="E581" t="s">
        <v>1127</v>
      </c>
      <c r="F581" t="s">
        <v>1168</v>
      </c>
      <c r="G581" t="s">
        <v>1154</v>
      </c>
      <c r="H581" s="1">
        <v>44969</v>
      </c>
      <c r="I581" s="1">
        <v>44977</v>
      </c>
      <c r="J581" s="3">
        <v>2620.6799999999998</v>
      </c>
      <c r="K581" s="4">
        <f t="shared" si="42"/>
        <v>8</v>
      </c>
      <c r="L581" t="str">
        <f t="shared" si="43"/>
        <v>Feb</v>
      </c>
      <c r="M581">
        <f t="shared" si="44"/>
        <v>2023</v>
      </c>
      <c r="N581">
        <f t="shared" si="45"/>
        <v>18</v>
      </c>
    </row>
    <row r="582" spans="1:14" x14ac:dyDescent="0.3">
      <c r="A582" t="s">
        <v>1295</v>
      </c>
      <c r="B582" t="s">
        <v>1296</v>
      </c>
      <c r="C582" s="1">
        <v>36360</v>
      </c>
      <c r="D582" t="s">
        <v>15</v>
      </c>
      <c r="E582" t="s">
        <v>1161</v>
      </c>
      <c r="F582" t="s">
        <v>1162</v>
      </c>
      <c r="G582" t="s">
        <v>1248</v>
      </c>
      <c r="H582" s="1">
        <v>44968</v>
      </c>
      <c r="I582" s="1">
        <v>44970</v>
      </c>
      <c r="J582" s="3">
        <v>2618.13</v>
      </c>
      <c r="K582" s="4">
        <f t="shared" si="42"/>
        <v>2</v>
      </c>
      <c r="L582" t="str">
        <f t="shared" si="43"/>
        <v>Feb</v>
      </c>
      <c r="M582">
        <f t="shared" si="44"/>
        <v>2023</v>
      </c>
      <c r="N582">
        <f t="shared" si="45"/>
        <v>23</v>
      </c>
    </row>
    <row r="583" spans="1:14" x14ac:dyDescent="0.3">
      <c r="A583" t="s">
        <v>1297</v>
      </c>
      <c r="B583" t="s">
        <v>1298</v>
      </c>
      <c r="C583" s="1">
        <v>35270</v>
      </c>
      <c r="D583" t="s">
        <v>21</v>
      </c>
      <c r="E583" t="s">
        <v>922</v>
      </c>
      <c r="F583" t="s">
        <v>683</v>
      </c>
      <c r="G583" t="s">
        <v>923</v>
      </c>
      <c r="H583" s="1">
        <v>45176</v>
      </c>
      <c r="I583" s="1">
        <v>45191</v>
      </c>
      <c r="J583" s="3">
        <v>2611.62</v>
      </c>
      <c r="K583" s="4">
        <f t="shared" ref="K583:K609" si="46" xml:space="preserve"> I583-H583</f>
        <v>15</v>
      </c>
      <c r="L583" t="str">
        <f t="shared" si="43"/>
        <v>Sep</v>
      </c>
      <c r="M583">
        <f t="shared" si="44"/>
        <v>2023</v>
      </c>
      <c r="N583">
        <f t="shared" si="45"/>
        <v>27</v>
      </c>
    </row>
    <row r="584" spans="1:14" x14ac:dyDescent="0.3">
      <c r="A584" t="s">
        <v>1299</v>
      </c>
      <c r="B584" t="s">
        <v>1300</v>
      </c>
      <c r="C584" s="1">
        <v>40971</v>
      </c>
      <c r="D584" t="s">
        <v>15</v>
      </c>
      <c r="E584" t="s">
        <v>1132</v>
      </c>
      <c r="F584" t="s">
        <v>1187</v>
      </c>
      <c r="G584" t="s">
        <v>1133</v>
      </c>
      <c r="H584" s="1">
        <v>44916</v>
      </c>
      <c r="I584" s="1">
        <v>44922</v>
      </c>
      <c r="J584" s="3">
        <v>2585.96</v>
      </c>
      <c r="K584" s="4">
        <f t="shared" si="46"/>
        <v>6</v>
      </c>
      <c r="L584" t="str">
        <f t="shared" si="43"/>
        <v>Dec</v>
      </c>
      <c r="M584">
        <f t="shared" si="44"/>
        <v>2022</v>
      </c>
      <c r="N584">
        <f t="shared" si="45"/>
        <v>10</v>
      </c>
    </row>
    <row r="585" spans="1:14" x14ac:dyDescent="0.3">
      <c r="A585" t="s">
        <v>1301</v>
      </c>
      <c r="B585" t="s">
        <v>1302</v>
      </c>
      <c r="C585" s="1">
        <v>38017</v>
      </c>
      <c r="D585" t="s">
        <v>21</v>
      </c>
      <c r="E585" t="s">
        <v>960</v>
      </c>
      <c r="F585" t="s">
        <v>985</v>
      </c>
      <c r="G585" t="s">
        <v>1018</v>
      </c>
      <c r="H585" s="1">
        <v>44899</v>
      </c>
      <c r="I585" s="1">
        <v>44906</v>
      </c>
      <c r="J585" s="3">
        <v>2584.96</v>
      </c>
      <c r="K585" s="4">
        <f t="shared" si="46"/>
        <v>7</v>
      </c>
      <c r="L585" t="str">
        <f t="shared" si="43"/>
        <v>Dec</v>
      </c>
      <c r="M585">
        <f t="shared" si="44"/>
        <v>2022</v>
      </c>
      <c r="N585">
        <f t="shared" si="45"/>
        <v>18</v>
      </c>
    </row>
    <row r="586" spans="1:14" x14ac:dyDescent="0.3">
      <c r="A586" t="s">
        <v>1303</v>
      </c>
      <c r="B586" t="s">
        <v>1304</v>
      </c>
      <c r="C586" s="1">
        <v>44441</v>
      </c>
      <c r="D586" t="s">
        <v>15</v>
      </c>
      <c r="E586" t="s">
        <v>1171</v>
      </c>
      <c r="F586" t="s">
        <v>295</v>
      </c>
      <c r="G586" t="s">
        <v>1172</v>
      </c>
      <c r="H586" s="1">
        <v>45381</v>
      </c>
      <c r="I586" s="1">
        <v>45396</v>
      </c>
      <c r="J586" s="3">
        <v>2584.81</v>
      </c>
      <c r="K586" s="4">
        <f t="shared" si="46"/>
        <v>15</v>
      </c>
      <c r="L586" t="str">
        <f t="shared" si="43"/>
        <v>Mar</v>
      </c>
      <c r="M586">
        <f t="shared" si="44"/>
        <v>2024</v>
      </c>
      <c r="N586">
        <f t="shared" si="45"/>
        <v>2</v>
      </c>
    </row>
    <row r="587" spans="1:14" x14ac:dyDescent="0.3">
      <c r="A587" t="s">
        <v>1305</v>
      </c>
      <c r="B587" t="s">
        <v>1306</v>
      </c>
      <c r="C587" s="1">
        <v>25101</v>
      </c>
      <c r="D587" t="s">
        <v>15</v>
      </c>
      <c r="E587" t="s">
        <v>1127</v>
      </c>
      <c r="F587" t="s">
        <v>1168</v>
      </c>
      <c r="G587" t="s">
        <v>1154</v>
      </c>
      <c r="H587" s="1">
        <v>45277</v>
      </c>
      <c r="I587" s="1">
        <v>45278</v>
      </c>
      <c r="J587" s="3">
        <v>2581.7800000000002</v>
      </c>
      <c r="K587" s="4">
        <f t="shared" si="46"/>
        <v>1</v>
      </c>
      <c r="L587" t="str">
        <f t="shared" si="43"/>
        <v>Dec</v>
      </c>
      <c r="M587">
        <f t="shared" si="44"/>
        <v>2023</v>
      </c>
      <c r="N587">
        <f t="shared" si="45"/>
        <v>55</v>
      </c>
    </row>
    <row r="588" spans="1:14" x14ac:dyDescent="0.3">
      <c r="A588" t="s">
        <v>1307</v>
      </c>
      <c r="B588" t="s">
        <v>1308</v>
      </c>
      <c r="C588" s="1">
        <v>19396</v>
      </c>
      <c r="D588" t="s">
        <v>15</v>
      </c>
      <c r="E588" t="s">
        <v>673</v>
      </c>
      <c r="F588" t="s">
        <v>191</v>
      </c>
      <c r="G588" t="s">
        <v>674</v>
      </c>
      <c r="H588" s="1">
        <v>45063</v>
      </c>
      <c r="I588" s="1">
        <v>45085</v>
      </c>
      <c r="J588" s="3">
        <v>2575.8000000000002</v>
      </c>
      <c r="K588" s="4">
        <f t="shared" si="46"/>
        <v>22</v>
      </c>
      <c r="L588" t="str">
        <f t="shared" si="43"/>
        <v>May</v>
      </c>
      <c r="M588">
        <f t="shared" si="44"/>
        <v>2023</v>
      </c>
      <c r="N588">
        <f t="shared" si="45"/>
        <v>70</v>
      </c>
    </row>
    <row r="589" spans="1:14" x14ac:dyDescent="0.3">
      <c r="A589" t="s">
        <v>1309</v>
      </c>
      <c r="B589" t="s">
        <v>1310</v>
      </c>
      <c r="C589" s="1">
        <v>20037</v>
      </c>
      <c r="D589" t="s">
        <v>15</v>
      </c>
      <c r="E589" t="s">
        <v>1147</v>
      </c>
      <c r="F589" t="s">
        <v>1128</v>
      </c>
      <c r="G589" t="s">
        <v>1140</v>
      </c>
      <c r="H589" s="1">
        <v>44770</v>
      </c>
      <c r="I589" s="1">
        <v>44782</v>
      </c>
      <c r="J589" s="3">
        <v>2571.09</v>
      </c>
      <c r="K589" s="4">
        <f t="shared" si="46"/>
        <v>12</v>
      </c>
      <c r="L589" t="str">
        <f t="shared" si="43"/>
        <v>Jul</v>
      </c>
      <c r="M589">
        <f t="shared" si="44"/>
        <v>2022</v>
      </c>
      <c r="N589">
        <f t="shared" si="45"/>
        <v>67</v>
      </c>
    </row>
    <row r="590" spans="1:14" x14ac:dyDescent="0.3">
      <c r="A590" t="s">
        <v>1311</v>
      </c>
      <c r="B590" t="s">
        <v>1312</v>
      </c>
      <c r="C590" s="1">
        <v>39972</v>
      </c>
      <c r="D590" t="s">
        <v>15</v>
      </c>
      <c r="E590" t="s">
        <v>1132</v>
      </c>
      <c r="F590" t="s">
        <v>1187</v>
      </c>
      <c r="G590" t="s">
        <v>1133</v>
      </c>
      <c r="H590" s="1">
        <v>45424</v>
      </c>
      <c r="I590" s="1">
        <v>45451</v>
      </c>
      <c r="J590" s="3">
        <v>2559.7199999999998</v>
      </c>
      <c r="K590" s="4">
        <f t="shared" si="46"/>
        <v>27</v>
      </c>
      <c r="L590" t="str">
        <f t="shared" si="43"/>
        <v>May</v>
      </c>
      <c r="M590">
        <f t="shared" si="44"/>
        <v>2024</v>
      </c>
      <c r="N590">
        <f t="shared" si="45"/>
        <v>14</v>
      </c>
    </row>
    <row r="591" spans="1:14" x14ac:dyDescent="0.3">
      <c r="A591" t="s">
        <v>1313</v>
      </c>
      <c r="B591" t="s">
        <v>1314</v>
      </c>
      <c r="C591" s="1">
        <v>8966</v>
      </c>
      <c r="D591" t="s">
        <v>21</v>
      </c>
      <c r="E591" t="s">
        <v>1171</v>
      </c>
      <c r="F591" t="s">
        <v>1128</v>
      </c>
      <c r="G591" t="s">
        <v>1179</v>
      </c>
      <c r="H591" s="1">
        <v>44994</v>
      </c>
      <c r="I591" s="1">
        <v>45010</v>
      </c>
      <c r="J591" s="3">
        <v>2559.5300000000002</v>
      </c>
      <c r="K591" s="4">
        <f t="shared" si="46"/>
        <v>16</v>
      </c>
      <c r="L591" t="str">
        <f t="shared" si="43"/>
        <v>Mar</v>
      </c>
      <c r="M591">
        <f t="shared" si="44"/>
        <v>2023</v>
      </c>
      <c r="N591">
        <f t="shared" si="45"/>
        <v>98</v>
      </c>
    </row>
    <row r="592" spans="1:14" x14ac:dyDescent="0.3">
      <c r="A592" t="s">
        <v>1315</v>
      </c>
      <c r="B592" t="s">
        <v>1316</v>
      </c>
      <c r="C592" s="1">
        <v>40475</v>
      </c>
      <c r="D592" t="s">
        <v>15</v>
      </c>
      <c r="E592" t="s">
        <v>2144</v>
      </c>
      <c r="F592" t="s">
        <v>1168</v>
      </c>
      <c r="G592" t="s">
        <v>1228</v>
      </c>
      <c r="H592" s="1">
        <v>45331</v>
      </c>
      <c r="I592" s="1">
        <v>45355</v>
      </c>
      <c r="J592" s="3">
        <v>2555.34</v>
      </c>
      <c r="K592" s="4">
        <f t="shared" si="46"/>
        <v>24</v>
      </c>
      <c r="L592" t="str">
        <f t="shared" si="43"/>
        <v>Feb</v>
      </c>
      <c r="M592">
        <f t="shared" si="44"/>
        <v>2024</v>
      </c>
      <c r="N592">
        <f t="shared" si="45"/>
        <v>13</v>
      </c>
    </row>
    <row r="593" spans="1:14" x14ac:dyDescent="0.3">
      <c r="A593" t="s">
        <v>1317</v>
      </c>
      <c r="B593" t="s">
        <v>1318</v>
      </c>
      <c r="C593" s="1">
        <v>29469</v>
      </c>
      <c r="D593" t="s">
        <v>15</v>
      </c>
      <c r="E593" t="s">
        <v>936</v>
      </c>
      <c r="F593" t="s">
        <v>937</v>
      </c>
      <c r="G593" t="s">
        <v>938</v>
      </c>
      <c r="H593" s="1">
        <v>45248</v>
      </c>
      <c r="I593" s="1">
        <v>45260</v>
      </c>
      <c r="J593" s="3">
        <v>2552.8000000000002</v>
      </c>
      <c r="K593" s="4">
        <f t="shared" si="46"/>
        <v>12</v>
      </c>
      <c r="L593" t="str">
        <f t="shared" si="43"/>
        <v>Nov</v>
      </c>
      <c r="M593">
        <f t="shared" si="44"/>
        <v>2023</v>
      </c>
      <c r="N593">
        <f t="shared" si="45"/>
        <v>43</v>
      </c>
    </row>
    <row r="594" spans="1:14" x14ac:dyDescent="0.3">
      <c r="A594" t="s">
        <v>1319</v>
      </c>
      <c r="B594" t="s">
        <v>1320</v>
      </c>
      <c r="C594" s="1">
        <v>25656</v>
      </c>
      <c r="D594" t="s">
        <v>21</v>
      </c>
      <c r="E594" t="s">
        <v>1147</v>
      </c>
      <c r="F594" t="s">
        <v>1148</v>
      </c>
      <c r="G594" t="s">
        <v>1236</v>
      </c>
      <c r="H594" s="1">
        <v>44590</v>
      </c>
      <c r="I594" s="1">
        <v>44607</v>
      </c>
      <c r="J594" s="3">
        <v>2549.23</v>
      </c>
      <c r="K594" s="4">
        <f t="shared" si="46"/>
        <v>17</v>
      </c>
      <c r="L594" t="str">
        <f t="shared" si="43"/>
        <v>Jan</v>
      </c>
      <c r="M594">
        <f t="shared" si="44"/>
        <v>2022</v>
      </c>
      <c r="N594">
        <f t="shared" si="45"/>
        <v>51</v>
      </c>
    </row>
    <row r="595" spans="1:14" x14ac:dyDescent="0.3">
      <c r="A595" t="s">
        <v>1321</v>
      </c>
      <c r="B595" t="s">
        <v>1322</v>
      </c>
      <c r="C595" s="1">
        <v>37875</v>
      </c>
      <c r="D595" t="s">
        <v>15</v>
      </c>
      <c r="E595" t="s">
        <v>1147</v>
      </c>
      <c r="F595" t="s">
        <v>1128</v>
      </c>
      <c r="G595" t="s">
        <v>1149</v>
      </c>
      <c r="H595" s="1">
        <v>44424</v>
      </c>
      <c r="I595" s="1">
        <v>44454</v>
      </c>
      <c r="J595" s="3">
        <v>2543.44</v>
      </c>
      <c r="K595" s="4">
        <f t="shared" si="46"/>
        <v>30</v>
      </c>
      <c r="L595" t="str">
        <f t="shared" si="43"/>
        <v>Aug</v>
      </c>
      <c r="M595">
        <f t="shared" si="44"/>
        <v>2021</v>
      </c>
      <c r="N595">
        <f t="shared" si="45"/>
        <v>17</v>
      </c>
    </row>
    <row r="596" spans="1:14" x14ac:dyDescent="0.3">
      <c r="A596" t="s">
        <v>1323</v>
      </c>
      <c r="B596" t="s">
        <v>1324</v>
      </c>
      <c r="C596" s="1">
        <v>29387</v>
      </c>
      <c r="D596" t="s">
        <v>15</v>
      </c>
      <c r="E596" t="s">
        <v>1138</v>
      </c>
      <c r="F596" t="s">
        <v>1139</v>
      </c>
      <c r="G596" t="s">
        <v>1140</v>
      </c>
      <c r="H596" s="1">
        <v>44889</v>
      </c>
      <c r="I596" s="1">
        <v>44895</v>
      </c>
      <c r="J596" s="3">
        <v>2541.12</v>
      </c>
      <c r="K596" s="4">
        <f t="shared" si="46"/>
        <v>6</v>
      </c>
      <c r="L596" t="str">
        <f t="shared" si="43"/>
        <v>Nov</v>
      </c>
      <c r="M596">
        <f t="shared" si="44"/>
        <v>2022</v>
      </c>
      <c r="N596">
        <f t="shared" si="45"/>
        <v>42</v>
      </c>
    </row>
    <row r="597" spans="1:14" x14ac:dyDescent="0.3">
      <c r="A597" t="s">
        <v>1325</v>
      </c>
      <c r="B597" t="s">
        <v>1326</v>
      </c>
      <c r="C597" s="1">
        <v>14274</v>
      </c>
      <c r="D597" t="s">
        <v>21</v>
      </c>
      <c r="E597" t="s">
        <v>936</v>
      </c>
      <c r="F597" t="s">
        <v>937</v>
      </c>
      <c r="G597" t="s">
        <v>976</v>
      </c>
      <c r="H597" s="1">
        <v>45401</v>
      </c>
      <c r="I597" s="1">
        <v>45418</v>
      </c>
      <c r="J597" s="3">
        <v>2538.9699999999998</v>
      </c>
      <c r="K597" s="4">
        <f t="shared" si="46"/>
        <v>17</v>
      </c>
      <c r="L597" t="str">
        <f t="shared" si="43"/>
        <v>Apr</v>
      </c>
      <c r="M597">
        <f t="shared" si="44"/>
        <v>2024</v>
      </c>
      <c r="N597">
        <f t="shared" si="45"/>
        <v>85</v>
      </c>
    </row>
    <row r="598" spans="1:14" x14ac:dyDescent="0.3">
      <c r="A598" t="s">
        <v>1327</v>
      </c>
      <c r="B598" t="s">
        <v>1328</v>
      </c>
      <c r="C598" s="1">
        <v>29232</v>
      </c>
      <c r="D598" t="s">
        <v>15</v>
      </c>
      <c r="E598" t="s">
        <v>1147</v>
      </c>
      <c r="F598" t="s">
        <v>1235</v>
      </c>
      <c r="G598" t="s">
        <v>1140</v>
      </c>
      <c r="H598" s="1">
        <v>44437</v>
      </c>
      <c r="I598" s="1">
        <v>44438</v>
      </c>
      <c r="J598" s="3">
        <v>2524.9499999999998</v>
      </c>
      <c r="K598" s="4">
        <f t="shared" si="46"/>
        <v>1</v>
      </c>
      <c r="L598" t="str">
        <f t="shared" si="43"/>
        <v>Aug</v>
      </c>
      <c r="M598">
        <f t="shared" si="44"/>
        <v>2021</v>
      </c>
      <c r="N598">
        <f t="shared" si="45"/>
        <v>41</v>
      </c>
    </row>
    <row r="599" spans="1:14" x14ac:dyDescent="0.3">
      <c r="A599" t="s">
        <v>1329</v>
      </c>
      <c r="B599" t="s">
        <v>1330</v>
      </c>
      <c r="C599" s="1">
        <v>38660</v>
      </c>
      <c r="D599" t="s">
        <v>21</v>
      </c>
      <c r="E599" t="s">
        <v>1138</v>
      </c>
      <c r="F599" t="s">
        <v>1139</v>
      </c>
      <c r="G599" t="s">
        <v>1140</v>
      </c>
      <c r="H599" s="1">
        <v>44895</v>
      </c>
      <c r="I599" s="1">
        <v>44900</v>
      </c>
      <c r="J599" s="3">
        <v>2521.6</v>
      </c>
      <c r="K599" s="4">
        <f t="shared" si="46"/>
        <v>5</v>
      </c>
      <c r="L599" t="str">
        <f t="shared" si="43"/>
        <v>Nov</v>
      </c>
      <c r="M599">
        <f t="shared" si="44"/>
        <v>2022</v>
      </c>
      <c r="N599">
        <f t="shared" si="45"/>
        <v>17</v>
      </c>
    </row>
    <row r="600" spans="1:14" x14ac:dyDescent="0.3">
      <c r="A600" t="s">
        <v>1331</v>
      </c>
      <c r="B600" t="s">
        <v>125</v>
      </c>
      <c r="C600" s="1">
        <v>31690</v>
      </c>
      <c r="D600" t="s">
        <v>21</v>
      </c>
      <c r="E600" t="s">
        <v>2144</v>
      </c>
      <c r="F600" t="s">
        <v>1168</v>
      </c>
      <c r="G600" t="s">
        <v>1332</v>
      </c>
      <c r="H600" s="1">
        <v>44419</v>
      </c>
      <c r="I600" s="1">
        <v>44443</v>
      </c>
      <c r="J600" s="3">
        <v>2517.7399999999998</v>
      </c>
      <c r="K600" s="4">
        <f t="shared" si="46"/>
        <v>24</v>
      </c>
      <c r="L600" t="str">
        <f t="shared" si="43"/>
        <v>Aug</v>
      </c>
      <c r="M600">
        <f t="shared" si="44"/>
        <v>2021</v>
      </c>
      <c r="N600">
        <f t="shared" si="45"/>
        <v>34</v>
      </c>
    </row>
    <row r="601" spans="1:14" x14ac:dyDescent="0.3">
      <c r="A601" t="s">
        <v>1333</v>
      </c>
      <c r="B601" t="s">
        <v>1334</v>
      </c>
      <c r="C601" s="1">
        <v>24126</v>
      </c>
      <c r="D601" t="s">
        <v>21</v>
      </c>
      <c r="E601" t="s">
        <v>2144</v>
      </c>
      <c r="F601" t="s">
        <v>1168</v>
      </c>
      <c r="G601" t="s">
        <v>1149</v>
      </c>
      <c r="H601" s="1">
        <v>44897</v>
      </c>
      <c r="I601" s="1">
        <v>44917</v>
      </c>
      <c r="J601" s="3">
        <v>2517.54</v>
      </c>
      <c r="K601" s="4">
        <f t="shared" si="46"/>
        <v>20</v>
      </c>
      <c r="L601" t="str">
        <f t="shared" si="43"/>
        <v>Dec</v>
      </c>
      <c r="M601">
        <f t="shared" si="44"/>
        <v>2022</v>
      </c>
      <c r="N601">
        <f t="shared" si="45"/>
        <v>56</v>
      </c>
    </row>
    <row r="602" spans="1:14" x14ac:dyDescent="0.3">
      <c r="A602" t="s">
        <v>1335</v>
      </c>
      <c r="B602" t="s">
        <v>1336</v>
      </c>
      <c r="C602" s="1">
        <v>37124</v>
      </c>
      <c r="D602" t="s">
        <v>21</v>
      </c>
      <c r="E602" t="s">
        <v>1147</v>
      </c>
      <c r="F602" t="s">
        <v>1148</v>
      </c>
      <c r="G602" t="s">
        <v>1140</v>
      </c>
      <c r="H602" s="1">
        <v>45387</v>
      </c>
      <c r="I602" s="1">
        <v>45392</v>
      </c>
      <c r="J602" s="3">
        <v>2517.13</v>
      </c>
      <c r="K602" s="4">
        <f t="shared" si="46"/>
        <v>5</v>
      </c>
      <c r="L602" t="str">
        <f t="shared" si="43"/>
        <v>Apr</v>
      </c>
      <c r="M602">
        <f t="shared" si="44"/>
        <v>2024</v>
      </c>
      <c r="N602">
        <f t="shared" si="45"/>
        <v>22</v>
      </c>
    </row>
    <row r="603" spans="1:14" x14ac:dyDescent="0.3">
      <c r="A603" t="s">
        <v>1337</v>
      </c>
      <c r="B603" t="s">
        <v>1338</v>
      </c>
      <c r="C603" s="1">
        <v>27019</v>
      </c>
      <c r="D603" t="s">
        <v>21</v>
      </c>
      <c r="E603" t="s">
        <v>1147</v>
      </c>
      <c r="F603" t="s">
        <v>1339</v>
      </c>
      <c r="G603" t="s">
        <v>1149</v>
      </c>
      <c r="H603" s="1">
        <v>45256</v>
      </c>
      <c r="I603" s="1">
        <v>45262</v>
      </c>
      <c r="J603" s="3">
        <v>2516.6799999999998</v>
      </c>
      <c r="K603" s="4">
        <f t="shared" si="46"/>
        <v>6</v>
      </c>
      <c r="L603" t="str">
        <f t="shared" si="43"/>
        <v>Nov</v>
      </c>
      <c r="M603">
        <f t="shared" si="44"/>
        <v>2023</v>
      </c>
      <c r="N603">
        <f t="shared" si="45"/>
        <v>49</v>
      </c>
    </row>
    <row r="604" spans="1:14" x14ac:dyDescent="0.3">
      <c r="A604" t="s">
        <v>1340</v>
      </c>
      <c r="B604" t="s">
        <v>1341</v>
      </c>
      <c r="C604" s="1">
        <v>17738</v>
      </c>
      <c r="D604" t="s">
        <v>15</v>
      </c>
      <c r="E604" t="s">
        <v>922</v>
      </c>
      <c r="F604" t="s">
        <v>683</v>
      </c>
      <c r="G604" t="s">
        <v>923</v>
      </c>
      <c r="H604" s="1">
        <v>44997</v>
      </c>
      <c r="I604" s="1">
        <v>44999</v>
      </c>
      <c r="J604" s="3">
        <v>2510.86</v>
      </c>
      <c r="K604" s="4">
        <f t="shared" si="46"/>
        <v>2</v>
      </c>
      <c r="L604" t="str">
        <f t="shared" si="43"/>
        <v>Mar</v>
      </c>
      <c r="M604">
        <f t="shared" si="44"/>
        <v>2023</v>
      </c>
      <c r="N604">
        <f t="shared" si="45"/>
        <v>74</v>
      </c>
    </row>
    <row r="605" spans="1:14" x14ac:dyDescent="0.3">
      <c r="A605" t="s">
        <v>1342</v>
      </c>
      <c r="B605" t="s">
        <v>1343</v>
      </c>
      <c r="C605" s="1">
        <v>28605</v>
      </c>
      <c r="D605" t="s">
        <v>15</v>
      </c>
      <c r="E605" t="s">
        <v>1138</v>
      </c>
      <c r="F605" t="s">
        <v>1231</v>
      </c>
      <c r="G605" t="s">
        <v>1199</v>
      </c>
      <c r="H605" s="1">
        <v>45102</v>
      </c>
      <c r="I605" s="1">
        <v>45107</v>
      </c>
      <c r="J605" s="3">
        <v>2503.94</v>
      </c>
      <c r="K605" s="4">
        <f t="shared" si="46"/>
        <v>5</v>
      </c>
      <c r="L605" t="str">
        <f t="shared" si="43"/>
        <v>Jun</v>
      </c>
      <c r="M605">
        <f t="shared" si="44"/>
        <v>2023</v>
      </c>
      <c r="N605">
        <f t="shared" si="45"/>
        <v>45</v>
      </c>
    </row>
    <row r="606" spans="1:14" x14ac:dyDescent="0.3">
      <c r="A606" t="s">
        <v>1344</v>
      </c>
      <c r="B606" t="s">
        <v>1345</v>
      </c>
      <c r="C606" s="1">
        <v>13930</v>
      </c>
      <c r="D606" t="s">
        <v>21</v>
      </c>
      <c r="E606" t="s">
        <v>1214</v>
      </c>
      <c r="F606" t="s">
        <v>84</v>
      </c>
      <c r="G606" t="s">
        <v>1216</v>
      </c>
      <c r="H606" s="1">
        <v>44445</v>
      </c>
      <c r="I606" s="1">
        <v>44454</v>
      </c>
      <c r="J606" s="3">
        <v>2502.58</v>
      </c>
      <c r="K606" s="4">
        <f t="shared" si="46"/>
        <v>9</v>
      </c>
      <c r="L606" t="str">
        <f t="shared" si="43"/>
        <v>Sep</v>
      </c>
      <c r="M606">
        <f t="shared" si="44"/>
        <v>2021</v>
      </c>
      <c r="N606">
        <f t="shared" si="45"/>
        <v>83</v>
      </c>
    </row>
    <row r="607" spans="1:14" x14ac:dyDescent="0.3">
      <c r="A607" t="s">
        <v>1346</v>
      </c>
      <c r="B607" t="s">
        <v>1347</v>
      </c>
      <c r="C607" s="1">
        <v>45119</v>
      </c>
      <c r="D607" t="s">
        <v>21</v>
      </c>
      <c r="E607" t="s">
        <v>1127</v>
      </c>
      <c r="F607" t="s">
        <v>1128</v>
      </c>
      <c r="G607" t="s">
        <v>1154</v>
      </c>
      <c r="H607" s="1">
        <v>45169</v>
      </c>
      <c r="I607" s="1">
        <v>45180</v>
      </c>
      <c r="J607" s="3">
        <v>2498.7800000000002</v>
      </c>
      <c r="K607" s="4">
        <f t="shared" si="46"/>
        <v>11</v>
      </c>
      <c r="L607" t="str">
        <f t="shared" si="43"/>
        <v>Aug</v>
      </c>
      <c r="M607">
        <f t="shared" si="44"/>
        <v>2023</v>
      </c>
      <c r="N607">
        <f t="shared" si="45"/>
        <v>0</v>
      </c>
    </row>
    <row r="608" spans="1:14" x14ac:dyDescent="0.3">
      <c r="A608" t="s">
        <v>1348</v>
      </c>
      <c r="B608" t="s">
        <v>1349</v>
      </c>
      <c r="C608" s="1">
        <v>13653</v>
      </c>
      <c r="D608" t="s">
        <v>21</v>
      </c>
      <c r="E608" t="s">
        <v>2144</v>
      </c>
      <c r="F608" t="s">
        <v>1168</v>
      </c>
      <c r="G608" t="s">
        <v>1228</v>
      </c>
      <c r="H608" s="1">
        <v>45266</v>
      </c>
      <c r="I608" s="1">
        <v>45268</v>
      </c>
      <c r="J608" s="3">
        <v>2488.2199999999998</v>
      </c>
      <c r="K608" s="4">
        <f t="shared" si="46"/>
        <v>2</v>
      </c>
      <c r="L608" t="str">
        <f t="shared" si="43"/>
        <v>Dec</v>
      </c>
      <c r="M608">
        <f t="shared" si="44"/>
        <v>2023</v>
      </c>
      <c r="N608">
        <f t="shared" si="45"/>
        <v>86</v>
      </c>
    </row>
    <row r="609" spans="1:14" x14ac:dyDescent="0.3">
      <c r="A609" t="s">
        <v>1350</v>
      </c>
      <c r="B609" t="s">
        <v>1351</v>
      </c>
      <c r="C609" s="1">
        <v>16234</v>
      </c>
      <c r="D609" t="s">
        <v>21</v>
      </c>
      <c r="E609" t="s">
        <v>936</v>
      </c>
      <c r="F609" t="s">
        <v>286</v>
      </c>
      <c r="G609" t="s">
        <v>976</v>
      </c>
      <c r="H609" s="1">
        <v>45038</v>
      </c>
      <c r="I609" s="1">
        <v>45066</v>
      </c>
      <c r="J609" s="3">
        <v>2480.62</v>
      </c>
      <c r="K609" s="4">
        <f t="shared" si="46"/>
        <v>28</v>
      </c>
      <c r="L609" t="str">
        <f t="shared" si="43"/>
        <v>Apr</v>
      </c>
      <c r="M609">
        <f t="shared" si="44"/>
        <v>2023</v>
      </c>
      <c r="N609">
        <f t="shared" si="45"/>
        <v>78</v>
      </c>
    </row>
    <row r="610" spans="1:14" x14ac:dyDescent="0.3">
      <c r="A610" t="s">
        <v>1352</v>
      </c>
      <c r="B610" t="s">
        <v>1353</v>
      </c>
      <c r="C610" s="1">
        <v>21041</v>
      </c>
      <c r="D610" t="s">
        <v>21</v>
      </c>
      <c r="E610" t="s">
        <v>936</v>
      </c>
      <c r="F610" t="s">
        <v>937</v>
      </c>
      <c r="G610" t="s">
        <v>976</v>
      </c>
      <c r="H610" s="1">
        <v>44458</v>
      </c>
      <c r="I610" s="1">
        <v>44485</v>
      </c>
      <c r="J610" s="3">
        <v>2471.69</v>
      </c>
      <c r="K610" s="4">
        <f t="shared" ref="K610:K623" si="47" xml:space="preserve"> I610-H610</f>
        <v>27</v>
      </c>
      <c r="L610" t="str">
        <f t="shared" si="43"/>
        <v>Sep</v>
      </c>
      <c r="M610">
        <f t="shared" si="44"/>
        <v>2021</v>
      </c>
      <c r="N610">
        <f t="shared" si="45"/>
        <v>64</v>
      </c>
    </row>
    <row r="611" spans="1:14" x14ac:dyDescent="0.3">
      <c r="A611" t="s">
        <v>1354</v>
      </c>
      <c r="B611" t="s">
        <v>1355</v>
      </c>
      <c r="C611" s="1">
        <v>10796</v>
      </c>
      <c r="D611" t="s">
        <v>21</v>
      </c>
      <c r="E611" t="s">
        <v>1127</v>
      </c>
      <c r="F611" t="s">
        <v>1168</v>
      </c>
      <c r="G611" t="s">
        <v>1154</v>
      </c>
      <c r="H611" s="1">
        <v>44639</v>
      </c>
      <c r="I611" s="1">
        <v>44640</v>
      </c>
      <c r="J611" s="3">
        <v>2468.69</v>
      </c>
      <c r="K611" s="4">
        <f t="shared" si="47"/>
        <v>1</v>
      </c>
      <c r="L611" t="str">
        <f t="shared" si="43"/>
        <v>Mar</v>
      </c>
      <c r="M611">
        <f t="shared" si="44"/>
        <v>2022</v>
      </c>
      <c r="N611">
        <f t="shared" si="45"/>
        <v>92</v>
      </c>
    </row>
    <row r="612" spans="1:14" x14ac:dyDescent="0.3">
      <c r="A612" t="s">
        <v>1356</v>
      </c>
      <c r="B612" t="s">
        <v>1357</v>
      </c>
      <c r="C612" s="1">
        <v>19163</v>
      </c>
      <c r="D612" t="s">
        <v>15</v>
      </c>
      <c r="E612" t="s">
        <v>2144</v>
      </c>
      <c r="F612" t="s">
        <v>1168</v>
      </c>
      <c r="G612" t="s">
        <v>1149</v>
      </c>
      <c r="H612" s="1">
        <v>44682</v>
      </c>
      <c r="I612" s="1">
        <v>44689</v>
      </c>
      <c r="J612" s="3">
        <v>2459</v>
      </c>
      <c r="K612" s="4">
        <f t="shared" si="47"/>
        <v>7</v>
      </c>
      <c r="L612" t="str">
        <f t="shared" si="43"/>
        <v>May</v>
      </c>
      <c r="M612">
        <f t="shared" si="44"/>
        <v>2022</v>
      </c>
      <c r="N612">
        <f t="shared" si="45"/>
        <v>69</v>
      </c>
    </row>
    <row r="613" spans="1:14" x14ac:dyDescent="0.3">
      <c r="A613" t="s">
        <v>1358</v>
      </c>
      <c r="B613" t="s">
        <v>1359</v>
      </c>
      <c r="C613" s="1">
        <v>16484</v>
      </c>
      <c r="D613" t="s">
        <v>21</v>
      </c>
      <c r="E613" t="s">
        <v>1214</v>
      </c>
      <c r="F613" t="s">
        <v>1215</v>
      </c>
      <c r="G613" t="s">
        <v>1216</v>
      </c>
      <c r="H613" s="1">
        <v>44809</v>
      </c>
      <c r="I613" s="1">
        <v>44838</v>
      </c>
      <c r="J613" s="3">
        <v>2458.92</v>
      </c>
      <c r="K613" s="4">
        <f t="shared" si="47"/>
        <v>29</v>
      </c>
      <c r="L613" t="str">
        <f t="shared" si="43"/>
        <v>Sep</v>
      </c>
      <c r="M613">
        <f t="shared" si="44"/>
        <v>2022</v>
      </c>
      <c r="N613">
        <f t="shared" si="45"/>
        <v>77</v>
      </c>
    </row>
    <row r="614" spans="1:14" x14ac:dyDescent="0.3">
      <c r="A614" t="s">
        <v>1360</v>
      </c>
      <c r="B614" t="s">
        <v>1361</v>
      </c>
      <c r="C614" s="1">
        <v>29620</v>
      </c>
      <c r="D614" t="s">
        <v>15</v>
      </c>
      <c r="E614" t="s">
        <v>1214</v>
      </c>
      <c r="F614" t="s">
        <v>84</v>
      </c>
      <c r="G614" t="s">
        <v>1216</v>
      </c>
      <c r="H614" s="1">
        <v>44650</v>
      </c>
      <c r="I614" s="1">
        <v>44672</v>
      </c>
      <c r="J614" s="3">
        <v>2456.37</v>
      </c>
      <c r="K614" s="4">
        <f t="shared" si="47"/>
        <v>22</v>
      </c>
      <c r="L614" t="str">
        <f t="shared" si="43"/>
        <v>Mar</v>
      </c>
      <c r="M614">
        <f t="shared" si="44"/>
        <v>2022</v>
      </c>
      <c r="N614">
        <f t="shared" si="45"/>
        <v>41</v>
      </c>
    </row>
    <row r="615" spans="1:14" x14ac:dyDescent="0.3">
      <c r="A615" t="s">
        <v>1362</v>
      </c>
      <c r="B615" t="s">
        <v>1363</v>
      </c>
      <c r="C615" s="1">
        <v>14724</v>
      </c>
      <c r="D615" t="s">
        <v>21</v>
      </c>
      <c r="E615" t="s">
        <v>1171</v>
      </c>
      <c r="F615" t="s">
        <v>1364</v>
      </c>
      <c r="G615" t="s">
        <v>1184</v>
      </c>
      <c r="H615" s="1">
        <v>44451</v>
      </c>
      <c r="I615" s="1">
        <v>44468</v>
      </c>
      <c r="J615" s="3">
        <v>2440.9499999999998</v>
      </c>
      <c r="K615" s="4">
        <f t="shared" si="47"/>
        <v>17</v>
      </c>
      <c r="L615" t="str">
        <f t="shared" si="43"/>
        <v>Sep</v>
      </c>
      <c r="M615">
        <f t="shared" si="44"/>
        <v>2021</v>
      </c>
      <c r="N615">
        <f t="shared" si="45"/>
        <v>81</v>
      </c>
    </row>
    <row r="616" spans="1:14" x14ac:dyDescent="0.3">
      <c r="A616" t="s">
        <v>1365</v>
      </c>
      <c r="B616" t="s">
        <v>1366</v>
      </c>
      <c r="C616" s="1">
        <v>42674</v>
      </c>
      <c r="D616" t="s">
        <v>21</v>
      </c>
      <c r="E616" t="s">
        <v>1132</v>
      </c>
      <c r="F616" t="s">
        <v>295</v>
      </c>
      <c r="G616" t="s">
        <v>1184</v>
      </c>
      <c r="H616" s="1">
        <v>45300</v>
      </c>
      <c r="I616" s="1">
        <v>45310</v>
      </c>
      <c r="J616" s="3">
        <v>2428.21</v>
      </c>
      <c r="K616" s="4">
        <f t="shared" si="47"/>
        <v>10</v>
      </c>
      <c r="L616" t="str">
        <f t="shared" si="43"/>
        <v>Jan</v>
      </c>
      <c r="M616">
        <f t="shared" si="44"/>
        <v>2024</v>
      </c>
      <c r="N616">
        <f t="shared" si="45"/>
        <v>7</v>
      </c>
    </row>
    <row r="617" spans="1:14" x14ac:dyDescent="0.3">
      <c r="A617" t="s">
        <v>1367</v>
      </c>
      <c r="B617" t="s">
        <v>1368</v>
      </c>
      <c r="C617" s="1">
        <v>26405</v>
      </c>
      <c r="D617" t="s">
        <v>15</v>
      </c>
      <c r="E617" t="s">
        <v>936</v>
      </c>
      <c r="F617" t="s">
        <v>937</v>
      </c>
      <c r="G617" t="s">
        <v>976</v>
      </c>
      <c r="H617" s="1">
        <v>44758</v>
      </c>
      <c r="I617" s="1">
        <v>44761</v>
      </c>
      <c r="J617" s="3">
        <v>2426.34</v>
      </c>
      <c r="K617" s="4">
        <f t="shared" si="47"/>
        <v>3</v>
      </c>
      <c r="L617" t="str">
        <f t="shared" si="43"/>
        <v>Jul</v>
      </c>
      <c r="M617">
        <f t="shared" si="44"/>
        <v>2022</v>
      </c>
      <c r="N617">
        <f t="shared" si="45"/>
        <v>50</v>
      </c>
    </row>
    <row r="618" spans="1:14" x14ac:dyDescent="0.3">
      <c r="A618" s="2" t="s">
        <v>1369</v>
      </c>
      <c r="B618" t="s">
        <v>1370</v>
      </c>
      <c r="C618" s="1">
        <v>28703</v>
      </c>
      <c r="D618" t="s">
        <v>15</v>
      </c>
      <c r="E618" t="s">
        <v>952</v>
      </c>
      <c r="F618" t="s">
        <v>953</v>
      </c>
      <c r="G618" t="s">
        <v>957</v>
      </c>
      <c r="H618" s="1">
        <v>45400</v>
      </c>
      <c r="I618" s="1">
        <v>45406</v>
      </c>
      <c r="J618" s="3">
        <v>2425.0500000000002</v>
      </c>
      <c r="K618" s="4">
        <f t="shared" si="47"/>
        <v>6</v>
      </c>
      <c r="L618" t="str">
        <f t="shared" si="43"/>
        <v>Apr</v>
      </c>
      <c r="M618">
        <f t="shared" si="44"/>
        <v>2024</v>
      </c>
      <c r="N618">
        <f t="shared" si="45"/>
        <v>45</v>
      </c>
    </row>
    <row r="619" spans="1:14" x14ac:dyDescent="0.3">
      <c r="A619" t="s">
        <v>1371</v>
      </c>
      <c r="B619" t="s">
        <v>1372</v>
      </c>
      <c r="C619" s="1">
        <v>16717</v>
      </c>
      <c r="D619" t="s">
        <v>15</v>
      </c>
      <c r="E619" t="s">
        <v>1138</v>
      </c>
      <c r="F619" t="s">
        <v>1139</v>
      </c>
      <c r="G619" t="s">
        <v>1199</v>
      </c>
      <c r="H619" s="1">
        <v>44554</v>
      </c>
      <c r="I619" s="1">
        <v>44561</v>
      </c>
      <c r="J619" s="3">
        <v>2415.35</v>
      </c>
      <c r="K619" s="4">
        <f t="shared" si="47"/>
        <v>7</v>
      </c>
      <c r="L619" t="str">
        <f t="shared" ref="L619:L682" si="48">TEXT(H619,"mmm")</f>
        <v>Dec</v>
      </c>
      <c r="M619">
        <f t="shared" si="44"/>
        <v>2021</v>
      </c>
      <c r="N619">
        <f t="shared" si="45"/>
        <v>76</v>
      </c>
    </row>
    <row r="620" spans="1:14" x14ac:dyDescent="0.3">
      <c r="A620" t="s">
        <v>1373</v>
      </c>
      <c r="B620" t="s">
        <v>1374</v>
      </c>
      <c r="C620" s="1">
        <v>20976</v>
      </c>
      <c r="D620" t="s">
        <v>21</v>
      </c>
      <c r="E620" t="s">
        <v>1132</v>
      </c>
      <c r="F620" t="s">
        <v>1187</v>
      </c>
      <c r="G620" t="s">
        <v>1184</v>
      </c>
      <c r="H620" s="1">
        <v>44707</v>
      </c>
      <c r="I620" s="1">
        <v>44723</v>
      </c>
      <c r="J620" s="3">
        <v>2413.4699999999998</v>
      </c>
      <c r="K620" s="4">
        <f t="shared" si="47"/>
        <v>16</v>
      </c>
      <c r="L620" t="str">
        <f t="shared" si="48"/>
        <v>May</v>
      </c>
      <c r="M620">
        <f t="shared" si="44"/>
        <v>2022</v>
      </c>
      <c r="N620">
        <f t="shared" si="45"/>
        <v>64</v>
      </c>
    </row>
    <row r="621" spans="1:14" x14ac:dyDescent="0.3">
      <c r="A621" t="s">
        <v>1375</v>
      </c>
      <c r="B621" t="s">
        <v>1376</v>
      </c>
      <c r="C621" s="1">
        <v>15904</v>
      </c>
      <c r="D621" t="s">
        <v>15</v>
      </c>
      <c r="E621" t="s">
        <v>1147</v>
      </c>
      <c r="F621" t="s">
        <v>1339</v>
      </c>
      <c r="G621" t="s">
        <v>1140</v>
      </c>
      <c r="H621" s="1">
        <v>44848</v>
      </c>
      <c r="I621" s="1">
        <v>44872</v>
      </c>
      <c r="J621" s="3">
        <v>2402.36</v>
      </c>
      <c r="K621" s="4">
        <f t="shared" si="47"/>
        <v>24</v>
      </c>
      <c r="L621" t="str">
        <f t="shared" si="48"/>
        <v>Oct</v>
      </c>
      <c r="M621">
        <f t="shared" si="44"/>
        <v>2022</v>
      </c>
      <c r="N621">
        <f t="shared" si="45"/>
        <v>79</v>
      </c>
    </row>
    <row r="622" spans="1:14" x14ac:dyDescent="0.3">
      <c r="A622" t="s">
        <v>1377</v>
      </c>
      <c r="B622" t="s">
        <v>1378</v>
      </c>
      <c r="C622" s="1">
        <v>38358</v>
      </c>
      <c r="D622" t="s">
        <v>21</v>
      </c>
      <c r="E622" t="s">
        <v>1161</v>
      </c>
      <c r="F622" t="s">
        <v>683</v>
      </c>
      <c r="G622" t="s">
        <v>1248</v>
      </c>
      <c r="H622" s="1">
        <v>44658</v>
      </c>
      <c r="I622" s="1">
        <v>44661</v>
      </c>
      <c r="J622" s="3">
        <v>2398.38</v>
      </c>
      <c r="K622" s="4">
        <f t="shared" si="47"/>
        <v>3</v>
      </c>
      <c r="L622" t="str">
        <f t="shared" si="48"/>
        <v>Apr</v>
      </c>
      <c r="M622">
        <f t="shared" si="44"/>
        <v>2022</v>
      </c>
      <c r="N622">
        <f t="shared" si="45"/>
        <v>17</v>
      </c>
    </row>
    <row r="623" spans="1:14" x14ac:dyDescent="0.3">
      <c r="A623" t="s">
        <v>1379</v>
      </c>
      <c r="B623" t="s">
        <v>1380</v>
      </c>
      <c r="C623" s="1">
        <v>39052</v>
      </c>
      <c r="D623" t="s">
        <v>15</v>
      </c>
      <c r="E623" t="s">
        <v>1132</v>
      </c>
      <c r="F623" t="s">
        <v>1187</v>
      </c>
      <c r="G623" t="s">
        <v>1133</v>
      </c>
      <c r="H623" s="1">
        <v>44488</v>
      </c>
      <c r="I623" s="1">
        <v>44507</v>
      </c>
      <c r="J623" s="3">
        <v>2398.3200000000002</v>
      </c>
      <c r="K623" s="4">
        <f t="shared" si="47"/>
        <v>19</v>
      </c>
      <c r="L623" t="str">
        <f t="shared" si="48"/>
        <v>Oct</v>
      </c>
      <c r="M623">
        <f t="shared" si="44"/>
        <v>2021</v>
      </c>
      <c r="N623">
        <f t="shared" si="45"/>
        <v>14</v>
      </c>
    </row>
    <row r="624" spans="1:14" x14ac:dyDescent="0.3">
      <c r="A624" t="s">
        <v>1381</v>
      </c>
      <c r="B624" t="s">
        <v>1382</v>
      </c>
      <c r="C624" s="1">
        <v>20935</v>
      </c>
      <c r="D624" t="s">
        <v>21</v>
      </c>
      <c r="E624" t="s">
        <v>960</v>
      </c>
      <c r="F624" t="s">
        <v>985</v>
      </c>
      <c r="G624" t="s">
        <v>994</v>
      </c>
      <c r="H624" s="1">
        <v>45000</v>
      </c>
      <c r="I624" s="1">
        <v>45025</v>
      </c>
      <c r="J624" s="3">
        <v>2394.33</v>
      </c>
      <c r="K624" s="4">
        <f xml:space="preserve"> I624-H624</f>
        <v>25</v>
      </c>
      <c r="L624" t="str">
        <f t="shared" si="48"/>
        <v>Mar</v>
      </c>
      <c r="M624">
        <f t="shared" si="44"/>
        <v>2023</v>
      </c>
      <c r="N624">
        <f t="shared" si="45"/>
        <v>65</v>
      </c>
    </row>
    <row r="625" spans="1:14" x14ac:dyDescent="0.3">
      <c r="A625" t="s">
        <v>1383</v>
      </c>
      <c r="B625" t="s">
        <v>1384</v>
      </c>
      <c r="C625" s="1">
        <v>28319</v>
      </c>
      <c r="D625" t="s">
        <v>21</v>
      </c>
      <c r="E625" t="s">
        <v>952</v>
      </c>
      <c r="F625" t="s">
        <v>953</v>
      </c>
      <c r="G625" t="s">
        <v>969</v>
      </c>
      <c r="H625" s="1">
        <v>44466</v>
      </c>
      <c r="I625" s="1">
        <v>44478</v>
      </c>
      <c r="J625" s="3">
        <v>2394.11</v>
      </c>
      <c r="K625" s="4">
        <f t="shared" ref="K625:K669" si="49" xml:space="preserve"> I625-H625</f>
        <v>12</v>
      </c>
      <c r="L625" t="str">
        <f t="shared" si="48"/>
        <v>Sep</v>
      </c>
      <c r="M625">
        <f t="shared" si="44"/>
        <v>2021</v>
      </c>
      <c r="N625">
        <f t="shared" si="45"/>
        <v>44</v>
      </c>
    </row>
    <row r="626" spans="1:14" x14ac:dyDescent="0.3">
      <c r="A626" t="s">
        <v>1385</v>
      </c>
      <c r="B626" t="s">
        <v>1386</v>
      </c>
      <c r="C626" s="1">
        <v>10401</v>
      </c>
      <c r="D626" t="s">
        <v>21</v>
      </c>
      <c r="E626" t="s">
        <v>936</v>
      </c>
      <c r="F626" t="s">
        <v>286</v>
      </c>
      <c r="G626" t="s">
        <v>938</v>
      </c>
      <c r="H626" s="1">
        <v>45007</v>
      </c>
      <c r="I626" s="1">
        <v>45023</v>
      </c>
      <c r="J626" s="3">
        <v>2390.17</v>
      </c>
      <c r="K626" s="4">
        <f t="shared" si="49"/>
        <v>16</v>
      </c>
      <c r="L626" t="str">
        <f t="shared" si="48"/>
        <v>Mar</v>
      </c>
      <c r="M626">
        <f t="shared" si="44"/>
        <v>2023</v>
      </c>
      <c r="N626">
        <f t="shared" si="45"/>
        <v>94</v>
      </c>
    </row>
    <row r="627" spans="1:14" x14ac:dyDescent="0.3">
      <c r="A627" t="s">
        <v>1387</v>
      </c>
      <c r="B627" t="s">
        <v>1388</v>
      </c>
      <c r="C627" s="1">
        <v>33032</v>
      </c>
      <c r="D627" t="s">
        <v>21</v>
      </c>
      <c r="E627" t="s">
        <v>682</v>
      </c>
      <c r="F627" t="s">
        <v>84</v>
      </c>
      <c r="G627" t="s">
        <v>684</v>
      </c>
      <c r="H627" s="1">
        <v>45159</v>
      </c>
      <c r="I627" s="1">
        <v>45174</v>
      </c>
      <c r="J627" s="3">
        <v>2389.81</v>
      </c>
      <c r="K627" s="4">
        <f t="shared" si="49"/>
        <v>15</v>
      </c>
      <c r="L627" t="str">
        <f t="shared" si="48"/>
        <v>Aug</v>
      </c>
      <c r="M627">
        <f t="shared" si="44"/>
        <v>2023</v>
      </c>
      <c r="N627">
        <f t="shared" si="45"/>
        <v>33</v>
      </c>
    </row>
    <row r="628" spans="1:14" x14ac:dyDescent="0.3">
      <c r="A628" t="s">
        <v>1389</v>
      </c>
      <c r="B628" t="s">
        <v>1390</v>
      </c>
      <c r="C628" s="1">
        <v>20585</v>
      </c>
      <c r="D628" t="s">
        <v>15</v>
      </c>
      <c r="E628" t="s">
        <v>682</v>
      </c>
      <c r="F628" t="s">
        <v>746</v>
      </c>
      <c r="G628" t="s">
        <v>684</v>
      </c>
      <c r="H628" s="1">
        <v>45367</v>
      </c>
      <c r="I628" s="1">
        <v>45381</v>
      </c>
      <c r="J628" s="3">
        <v>2385.88</v>
      </c>
      <c r="K628" s="4">
        <f t="shared" si="49"/>
        <v>14</v>
      </c>
      <c r="L628" t="str">
        <f t="shared" si="48"/>
        <v>Mar</v>
      </c>
      <c r="M628">
        <f t="shared" si="44"/>
        <v>2024</v>
      </c>
      <c r="N628">
        <f t="shared" si="45"/>
        <v>67</v>
      </c>
    </row>
    <row r="629" spans="1:14" x14ac:dyDescent="0.3">
      <c r="A629" t="s">
        <v>1391</v>
      </c>
      <c r="B629" t="s">
        <v>1392</v>
      </c>
      <c r="C629" s="1">
        <v>10183</v>
      </c>
      <c r="D629" t="s">
        <v>21</v>
      </c>
      <c r="E629" t="s">
        <v>1171</v>
      </c>
      <c r="F629" t="s">
        <v>1364</v>
      </c>
      <c r="G629" t="s">
        <v>1184</v>
      </c>
      <c r="H629" s="1">
        <v>45104</v>
      </c>
      <c r="I629" s="1">
        <v>45125</v>
      </c>
      <c r="J629" s="3">
        <v>2382.35</v>
      </c>
      <c r="K629" s="4">
        <f t="shared" si="49"/>
        <v>21</v>
      </c>
      <c r="L629" t="str">
        <f t="shared" si="48"/>
        <v>Jun</v>
      </c>
      <c r="M629">
        <f t="shared" si="44"/>
        <v>2023</v>
      </c>
      <c r="N629">
        <f t="shared" si="45"/>
        <v>95</v>
      </c>
    </row>
    <row r="630" spans="1:14" x14ac:dyDescent="0.3">
      <c r="A630" t="s">
        <v>1393</v>
      </c>
      <c r="B630" t="s">
        <v>1394</v>
      </c>
      <c r="C630" s="1">
        <v>30946</v>
      </c>
      <c r="D630" t="s">
        <v>15</v>
      </c>
      <c r="E630" t="s">
        <v>1147</v>
      </c>
      <c r="F630" t="s">
        <v>1339</v>
      </c>
      <c r="G630" t="s">
        <v>1149</v>
      </c>
      <c r="H630" s="1">
        <v>45288</v>
      </c>
      <c r="I630" s="1">
        <v>45317</v>
      </c>
      <c r="J630" s="3">
        <v>2377.4299999999998</v>
      </c>
      <c r="K630" s="4">
        <f t="shared" si="49"/>
        <v>29</v>
      </c>
      <c r="L630" t="str">
        <f t="shared" si="48"/>
        <v>Dec</v>
      </c>
      <c r="M630">
        <f t="shared" si="44"/>
        <v>2023</v>
      </c>
      <c r="N630">
        <f t="shared" si="45"/>
        <v>39</v>
      </c>
    </row>
    <row r="631" spans="1:14" x14ac:dyDescent="0.3">
      <c r="A631" s="2" t="s">
        <v>1395</v>
      </c>
      <c r="B631" t="s">
        <v>1396</v>
      </c>
      <c r="C631" s="1">
        <v>27485</v>
      </c>
      <c r="D631" t="s">
        <v>21</v>
      </c>
      <c r="E631" t="s">
        <v>1214</v>
      </c>
      <c r="F631" t="s">
        <v>84</v>
      </c>
      <c r="G631" t="s">
        <v>1225</v>
      </c>
      <c r="H631" s="1">
        <v>45212</v>
      </c>
      <c r="I631" s="1">
        <v>45239</v>
      </c>
      <c r="J631" s="3">
        <v>2375.66</v>
      </c>
      <c r="K631" s="4">
        <f t="shared" si="49"/>
        <v>27</v>
      </c>
      <c r="L631" t="str">
        <f t="shared" si="48"/>
        <v>Oct</v>
      </c>
      <c r="M631">
        <f t="shared" si="44"/>
        <v>2023</v>
      </c>
      <c r="N631">
        <f t="shared" si="45"/>
        <v>48</v>
      </c>
    </row>
    <row r="632" spans="1:14" x14ac:dyDescent="0.3">
      <c r="A632" t="s">
        <v>1397</v>
      </c>
      <c r="B632" t="s">
        <v>1398</v>
      </c>
      <c r="C632" s="1">
        <v>17344</v>
      </c>
      <c r="D632" t="s">
        <v>21</v>
      </c>
      <c r="E632" t="s">
        <v>1161</v>
      </c>
      <c r="F632" t="s">
        <v>683</v>
      </c>
      <c r="G632" t="s">
        <v>957</v>
      </c>
      <c r="H632" s="1">
        <v>44558</v>
      </c>
      <c r="I632" s="1">
        <v>44582</v>
      </c>
      <c r="J632" s="3">
        <v>2371.3200000000002</v>
      </c>
      <c r="K632" s="4">
        <f t="shared" si="49"/>
        <v>24</v>
      </c>
      <c r="L632" t="str">
        <f t="shared" si="48"/>
        <v>Dec</v>
      </c>
      <c r="M632">
        <f t="shared" ref="M632:M695" si="50">YEAR(H632)</f>
        <v>2021</v>
      </c>
      <c r="N632">
        <f t="shared" ref="N632:N695" si="51">DATEDIF(C632, H632, "Y")</f>
        <v>74</v>
      </c>
    </row>
    <row r="633" spans="1:14" x14ac:dyDescent="0.3">
      <c r="A633" t="s">
        <v>1399</v>
      </c>
      <c r="B633" t="s">
        <v>1400</v>
      </c>
      <c r="C633" s="1">
        <v>26553</v>
      </c>
      <c r="D633" t="s">
        <v>15</v>
      </c>
      <c r="E633" t="s">
        <v>1171</v>
      </c>
      <c r="F633" t="s">
        <v>1128</v>
      </c>
      <c r="G633" t="s">
        <v>1184</v>
      </c>
      <c r="H633" s="1">
        <v>44432</v>
      </c>
      <c r="I633" s="1">
        <v>44457</v>
      </c>
      <c r="J633" s="3">
        <v>2353.4699999999998</v>
      </c>
      <c r="K633" s="4">
        <f t="shared" si="49"/>
        <v>25</v>
      </c>
      <c r="L633" t="str">
        <f t="shared" si="48"/>
        <v>Aug</v>
      </c>
      <c r="M633">
        <f t="shared" si="50"/>
        <v>2021</v>
      </c>
      <c r="N633">
        <f t="shared" si="51"/>
        <v>48</v>
      </c>
    </row>
    <row r="634" spans="1:14" x14ac:dyDescent="0.3">
      <c r="A634" t="s">
        <v>1401</v>
      </c>
      <c r="B634" t="s">
        <v>1402</v>
      </c>
      <c r="C634" s="1">
        <v>16432</v>
      </c>
      <c r="D634" t="s">
        <v>21</v>
      </c>
      <c r="E634" t="s">
        <v>952</v>
      </c>
      <c r="F634" t="s">
        <v>953</v>
      </c>
      <c r="G634" t="s">
        <v>957</v>
      </c>
      <c r="H634" s="1">
        <v>45220</v>
      </c>
      <c r="I634" s="1">
        <v>45233</v>
      </c>
      <c r="J634" s="3">
        <v>2352.77</v>
      </c>
      <c r="K634" s="4">
        <f t="shared" si="49"/>
        <v>13</v>
      </c>
      <c r="L634" t="str">
        <f t="shared" si="48"/>
        <v>Oct</v>
      </c>
      <c r="M634">
        <f t="shared" si="50"/>
        <v>2023</v>
      </c>
      <c r="N634">
        <f t="shared" si="51"/>
        <v>78</v>
      </c>
    </row>
    <row r="635" spans="1:14" x14ac:dyDescent="0.3">
      <c r="A635" t="s">
        <v>1403</v>
      </c>
      <c r="B635" t="s">
        <v>1404</v>
      </c>
      <c r="C635" s="1">
        <v>21161</v>
      </c>
      <c r="D635" t="s">
        <v>21</v>
      </c>
      <c r="E635" t="s">
        <v>673</v>
      </c>
      <c r="F635" t="s">
        <v>191</v>
      </c>
      <c r="G635" t="s">
        <v>674</v>
      </c>
      <c r="H635" s="1">
        <v>44673</v>
      </c>
      <c r="I635" s="1">
        <v>44674</v>
      </c>
      <c r="J635" s="3">
        <v>2350.1999999999998</v>
      </c>
      <c r="K635" s="4">
        <f t="shared" si="49"/>
        <v>1</v>
      </c>
      <c r="L635" t="str">
        <f t="shared" si="48"/>
        <v>Apr</v>
      </c>
      <c r="M635">
        <f t="shared" si="50"/>
        <v>2022</v>
      </c>
      <c r="N635">
        <f t="shared" si="51"/>
        <v>64</v>
      </c>
    </row>
    <row r="636" spans="1:14" x14ac:dyDescent="0.3">
      <c r="A636" t="s">
        <v>1405</v>
      </c>
      <c r="B636" t="s">
        <v>1406</v>
      </c>
      <c r="C636" s="1">
        <v>34537</v>
      </c>
      <c r="D636" t="s">
        <v>21</v>
      </c>
      <c r="E636" t="s">
        <v>1138</v>
      </c>
      <c r="F636" t="s">
        <v>1243</v>
      </c>
      <c r="G636" t="s">
        <v>1140</v>
      </c>
      <c r="H636" s="1">
        <v>44441</v>
      </c>
      <c r="I636" s="1">
        <v>44445</v>
      </c>
      <c r="J636" s="3">
        <v>2345.96</v>
      </c>
      <c r="K636" s="4">
        <f t="shared" si="49"/>
        <v>4</v>
      </c>
      <c r="L636" t="str">
        <f t="shared" si="48"/>
        <v>Sep</v>
      </c>
      <c r="M636">
        <f t="shared" si="50"/>
        <v>2021</v>
      </c>
      <c r="N636">
        <f t="shared" si="51"/>
        <v>27</v>
      </c>
    </row>
    <row r="637" spans="1:14" x14ac:dyDescent="0.3">
      <c r="A637" t="s">
        <v>1407</v>
      </c>
      <c r="B637" t="s">
        <v>1408</v>
      </c>
      <c r="C637" s="1">
        <v>21604</v>
      </c>
      <c r="D637" t="s">
        <v>15</v>
      </c>
      <c r="E637" t="s">
        <v>922</v>
      </c>
      <c r="F637" t="s">
        <v>683</v>
      </c>
      <c r="G637" t="s">
        <v>923</v>
      </c>
      <c r="H637" s="1">
        <v>44768</v>
      </c>
      <c r="I637" s="1">
        <v>44778</v>
      </c>
      <c r="J637" s="3">
        <v>2343.29</v>
      </c>
      <c r="K637" s="4">
        <f t="shared" si="49"/>
        <v>10</v>
      </c>
      <c r="L637" t="str">
        <f t="shared" si="48"/>
        <v>Jul</v>
      </c>
      <c r="M637">
        <f t="shared" si="50"/>
        <v>2022</v>
      </c>
      <c r="N637">
        <f t="shared" si="51"/>
        <v>63</v>
      </c>
    </row>
    <row r="638" spans="1:14" x14ac:dyDescent="0.3">
      <c r="A638" t="s">
        <v>1409</v>
      </c>
      <c r="B638" t="s">
        <v>1410</v>
      </c>
      <c r="C638" s="1">
        <v>42444</v>
      </c>
      <c r="D638" t="s">
        <v>15</v>
      </c>
      <c r="E638" t="s">
        <v>1138</v>
      </c>
      <c r="F638" t="s">
        <v>1139</v>
      </c>
      <c r="G638" t="s">
        <v>1199</v>
      </c>
      <c r="H638" s="1">
        <v>44780</v>
      </c>
      <c r="I638" s="1">
        <v>44802</v>
      </c>
      <c r="J638" s="3">
        <v>2337.48</v>
      </c>
      <c r="K638" s="4">
        <f t="shared" si="49"/>
        <v>22</v>
      </c>
      <c r="L638" t="str">
        <f t="shared" si="48"/>
        <v>Aug</v>
      </c>
      <c r="M638">
        <f t="shared" si="50"/>
        <v>2022</v>
      </c>
      <c r="N638">
        <f t="shared" si="51"/>
        <v>6</v>
      </c>
    </row>
    <row r="639" spans="1:14" x14ac:dyDescent="0.3">
      <c r="A639" t="s">
        <v>1411</v>
      </c>
      <c r="B639" t="s">
        <v>1412</v>
      </c>
      <c r="C639" s="1">
        <v>37063</v>
      </c>
      <c r="D639" t="s">
        <v>15</v>
      </c>
      <c r="E639" t="s">
        <v>1161</v>
      </c>
      <c r="F639" t="s">
        <v>1162</v>
      </c>
      <c r="G639" t="s">
        <v>1163</v>
      </c>
      <c r="H639" s="1">
        <v>44762</v>
      </c>
      <c r="I639" s="1">
        <v>44770</v>
      </c>
      <c r="J639" s="3">
        <v>2334.7600000000002</v>
      </c>
      <c r="K639" s="4">
        <f t="shared" si="49"/>
        <v>8</v>
      </c>
      <c r="L639" t="str">
        <f t="shared" si="48"/>
        <v>Jul</v>
      </c>
      <c r="M639">
        <f t="shared" si="50"/>
        <v>2022</v>
      </c>
      <c r="N639">
        <f t="shared" si="51"/>
        <v>21</v>
      </c>
    </row>
    <row r="640" spans="1:14" x14ac:dyDescent="0.3">
      <c r="A640" t="s">
        <v>1413</v>
      </c>
      <c r="B640" t="s">
        <v>1414</v>
      </c>
      <c r="C640" s="1">
        <v>32920</v>
      </c>
      <c r="D640" t="s">
        <v>21</v>
      </c>
      <c r="E640" t="s">
        <v>960</v>
      </c>
      <c r="F640" t="s">
        <v>985</v>
      </c>
      <c r="G640" t="s">
        <v>961</v>
      </c>
      <c r="H640" s="1">
        <v>44939</v>
      </c>
      <c r="I640" s="1">
        <v>44961</v>
      </c>
      <c r="J640" s="3">
        <v>2331.7600000000002</v>
      </c>
      <c r="K640" s="4">
        <f t="shared" si="49"/>
        <v>22</v>
      </c>
      <c r="L640" t="str">
        <f t="shared" si="48"/>
        <v>Jan</v>
      </c>
      <c r="M640">
        <f t="shared" si="50"/>
        <v>2023</v>
      </c>
      <c r="N640">
        <f t="shared" si="51"/>
        <v>32</v>
      </c>
    </row>
    <row r="641" spans="1:14" x14ac:dyDescent="0.3">
      <c r="A641" t="s">
        <v>1415</v>
      </c>
      <c r="B641" t="s">
        <v>1416</v>
      </c>
      <c r="C641" s="1">
        <v>42596</v>
      </c>
      <c r="D641" t="s">
        <v>15</v>
      </c>
      <c r="E641" t="s">
        <v>960</v>
      </c>
      <c r="F641" t="s">
        <v>985</v>
      </c>
      <c r="G641" t="s">
        <v>961</v>
      </c>
      <c r="H641" s="1">
        <v>44816</v>
      </c>
      <c r="I641" s="1">
        <v>44842</v>
      </c>
      <c r="J641" s="3">
        <v>2331.06</v>
      </c>
      <c r="K641" s="4">
        <f t="shared" si="49"/>
        <v>26</v>
      </c>
      <c r="L641" t="str">
        <f t="shared" si="48"/>
        <v>Sep</v>
      </c>
      <c r="M641">
        <f t="shared" si="50"/>
        <v>2022</v>
      </c>
      <c r="N641">
        <f t="shared" si="51"/>
        <v>6</v>
      </c>
    </row>
    <row r="642" spans="1:14" x14ac:dyDescent="0.3">
      <c r="A642" t="s">
        <v>1417</v>
      </c>
      <c r="B642" t="s">
        <v>1418</v>
      </c>
      <c r="C642" s="1">
        <v>27499</v>
      </c>
      <c r="D642" t="s">
        <v>15</v>
      </c>
      <c r="E642" t="s">
        <v>1147</v>
      </c>
      <c r="F642" t="s">
        <v>1339</v>
      </c>
      <c r="G642" t="s">
        <v>1140</v>
      </c>
      <c r="H642" s="1">
        <v>44852</v>
      </c>
      <c r="I642" s="1">
        <v>44872</v>
      </c>
      <c r="J642" s="3">
        <v>2322.63</v>
      </c>
      <c r="K642" s="4">
        <f t="shared" si="49"/>
        <v>20</v>
      </c>
      <c r="L642" t="str">
        <f t="shared" si="48"/>
        <v>Oct</v>
      </c>
      <c r="M642">
        <f t="shared" si="50"/>
        <v>2022</v>
      </c>
      <c r="N642">
        <f t="shared" si="51"/>
        <v>47</v>
      </c>
    </row>
    <row r="643" spans="1:14" x14ac:dyDescent="0.3">
      <c r="A643" t="s">
        <v>1419</v>
      </c>
      <c r="B643" t="s">
        <v>1420</v>
      </c>
      <c r="C643" s="1">
        <v>14229</v>
      </c>
      <c r="D643" t="s">
        <v>21</v>
      </c>
      <c r="E643" t="s">
        <v>1171</v>
      </c>
      <c r="F643" t="s">
        <v>1364</v>
      </c>
      <c r="G643" t="s">
        <v>1184</v>
      </c>
      <c r="H643" s="1">
        <v>44497</v>
      </c>
      <c r="I643" s="1">
        <v>44505</v>
      </c>
      <c r="J643" s="3">
        <v>2309.31</v>
      </c>
      <c r="K643" s="4">
        <f t="shared" si="49"/>
        <v>8</v>
      </c>
      <c r="L643" t="str">
        <f t="shared" si="48"/>
        <v>Oct</v>
      </c>
      <c r="M643">
        <f t="shared" si="50"/>
        <v>2021</v>
      </c>
      <c r="N643">
        <f t="shared" si="51"/>
        <v>82</v>
      </c>
    </row>
    <row r="644" spans="1:14" x14ac:dyDescent="0.3">
      <c r="A644" t="s">
        <v>1421</v>
      </c>
      <c r="B644" t="s">
        <v>1422</v>
      </c>
      <c r="C644" s="1">
        <v>39306</v>
      </c>
      <c r="D644" t="s">
        <v>15</v>
      </c>
      <c r="E644" t="s">
        <v>673</v>
      </c>
      <c r="F644" t="s">
        <v>191</v>
      </c>
      <c r="G644" t="s">
        <v>721</v>
      </c>
      <c r="H644" s="1">
        <v>44605</v>
      </c>
      <c r="I644" s="1">
        <v>44617</v>
      </c>
      <c r="J644" s="3">
        <v>2307.35</v>
      </c>
      <c r="K644" s="4">
        <f t="shared" si="49"/>
        <v>12</v>
      </c>
      <c r="L644" t="str">
        <f t="shared" si="48"/>
        <v>Feb</v>
      </c>
      <c r="M644">
        <f t="shared" si="50"/>
        <v>2022</v>
      </c>
      <c r="N644">
        <f t="shared" si="51"/>
        <v>14</v>
      </c>
    </row>
    <row r="645" spans="1:14" x14ac:dyDescent="0.3">
      <c r="A645" t="s">
        <v>1423</v>
      </c>
      <c r="B645" t="s">
        <v>1424</v>
      </c>
      <c r="C645" s="1">
        <v>17341</v>
      </c>
      <c r="D645" t="s">
        <v>15</v>
      </c>
      <c r="E645" t="s">
        <v>922</v>
      </c>
      <c r="F645" t="s">
        <v>84</v>
      </c>
      <c r="G645" t="s">
        <v>930</v>
      </c>
      <c r="H645" s="1">
        <v>44500</v>
      </c>
      <c r="I645" s="1">
        <v>44530</v>
      </c>
      <c r="J645" s="3">
        <v>2300.8000000000002</v>
      </c>
      <c r="K645" s="4">
        <f t="shared" si="49"/>
        <v>30</v>
      </c>
      <c r="L645" t="str">
        <f t="shared" si="48"/>
        <v>Oct</v>
      </c>
      <c r="M645">
        <f t="shared" si="50"/>
        <v>2021</v>
      </c>
      <c r="N645">
        <f t="shared" si="51"/>
        <v>74</v>
      </c>
    </row>
    <row r="646" spans="1:14" x14ac:dyDescent="0.3">
      <c r="A646" t="s">
        <v>1425</v>
      </c>
      <c r="B646" t="s">
        <v>1426</v>
      </c>
      <c r="C646" s="1">
        <v>20867</v>
      </c>
      <c r="D646" t="s">
        <v>21</v>
      </c>
      <c r="E646" t="s">
        <v>682</v>
      </c>
      <c r="F646" t="s">
        <v>84</v>
      </c>
      <c r="G646" t="s">
        <v>704</v>
      </c>
      <c r="H646" s="1">
        <v>45156</v>
      </c>
      <c r="I646" s="1">
        <v>45168</v>
      </c>
      <c r="J646" s="3">
        <v>2293.64</v>
      </c>
      <c r="K646" s="4">
        <f t="shared" si="49"/>
        <v>12</v>
      </c>
      <c r="L646" t="str">
        <f t="shared" si="48"/>
        <v>Aug</v>
      </c>
      <c r="M646">
        <f t="shared" si="50"/>
        <v>2023</v>
      </c>
      <c r="N646">
        <f t="shared" si="51"/>
        <v>66</v>
      </c>
    </row>
    <row r="647" spans="1:14" x14ac:dyDescent="0.3">
      <c r="A647" t="s">
        <v>1427</v>
      </c>
      <c r="B647" t="s">
        <v>1428</v>
      </c>
      <c r="C647" s="1">
        <v>22429</v>
      </c>
      <c r="D647" t="s">
        <v>21</v>
      </c>
      <c r="E647" t="s">
        <v>1138</v>
      </c>
      <c r="F647" t="s">
        <v>1231</v>
      </c>
      <c r="G647" t="s">
        <v>1140</v>
      </c>
      <c r="H647" s="1">
        <v>44441</v>
      </c>
      <c r="I647" s="1">
        <v>44457</v>
      </c>
      <c r="J647" s="3">
        <v>2284.65</v>
      </c>
      <c r="K647" s="4">
        <f t="shared" si="49"/>
        <v>16</v>
      </c>
      <c r="L647" t="str">
        <f t="shared" si="48"/>
        <v>Sep</v>
      </c>
      <c r="M647">
        <f t="shared" si="50"/>
        <v>2021</v>
      </c>
      <c r="N647">
        <f t="shared" si="51"/>
        <v>60</v>
      </c>
    </row>
    <row r="648" spans="1:14" x14ac:dyDescent="0.3">
      <c r="A648" t="s">
        <v>1429</v>
      </c>
      <c r="B648" t="s">
        <v>1430</v>
      </c>
      <c r="C648" s="1">
        <v>19857</v>
      </c>
      <c r="D648" t="s">
        <v>15</v>
      </c>
      <c r="E648" t="s">
        <v>960</v>
      </c>
      <c r="F648" t="s">
        <v>84</v>
      </c>
      <c r="G648" t="s">
        <v>1018</v>
      </c>
      <c r="H648" s="1">
        <v>45138</v>
      </c>
      <c r="I648" s="1">
        <v>45147</v>
      </c>
      <c r="J648" s="3">
        <v>2282.1999999999998</v>
      </c>
      <c r="K648" s="4">
        <f t="shared" si="49"/>
        <v>9</v>
      </c>
      <c r="L648" t="str">
        <f t="shared" si="48"/>
        <v>Jul</v>
      </c>
      <c r="M648">
        <f t="shared" si="50"/>
        <v>2023</v>
      </c>
      <c r="N648">
        <f t="shared" si="51"/>
        <v>69</v>
      </c>
    </row>
    <row r="649" spans="1:14" x14ac:dyDescent="0.3">
      <c r="A649" t="s">
        <v>1431</v>
      </c>
      <c r="B649" t="s">
        <v>1432</v>
      </c>
      <c r="C649" s="1">
        <v>28425</v>
      </c>
      <c r="D649" t="s">
        <v>21</v>
      </c>
      <c r="E649" t="s">
        <v>2144</v>
      </c>
      <c r="F649" t="s">
        <v>1168</v>
      </c>
      <c r="G649" t="s">
        <v>1332</v>
      </c>
      <c r="H649" s="1">
        <v>44980</v>
      </c>
      <c r="I649" s="1">
        <v>45009</v>
      </c>
      <c r="J649" s="3">
        <v>2280.89</v>
      </c>
      <c r="K649" s="4">
        <f t="shared" si="49"/>
        <v>29</v>
      </c>
      <c r="L649" t="str">
        <f t="shared" si="48"/>
        <v>Feb</v>
      </c>
      <c r="M649">
        <f t="shared" si="50"/>
        <v>2023</v>
      </c>
      <c r="N649">
        <f t="shared" si="51"/>
        <v>45</v>
      </c>
    </row>
    <row r="650" spans="1:14" x14ac:dyDescent="0.3">
      <c r="A650" t="s">
        <v>1433</v>
      </c>
      <c r="B650" t="s">
        <v>1434</v>
      </c>
      <c r="C650" s="1">
        <v>9955</v>
      </c>
      <c r="D650" t="s">
        <v>21</v>
      </c>
      <c r="E650" t="s">
        <v>960</v>
      </c>
      <c r="F650" t="s">
        <v>985</v>
      </c>
      <c r="G650" t="s">
        <v>1018</v>
      </c>
      <c r="H650" s="1">
        <v>45088</v>
      </c>
      <c r="I650" s="1">
        <v>45110</v>
      </c>
      <c r="J650" s="3">
        <v>2267.96</v>
      </c>
      <c r="K650" s="4">
        <f t="shared" si="49"/>
        <v>22</v>
      </c>
      <c r="L650" t="str">
        <f t="shared" si="48"/>
        <v>Jun</v>
      </c>
      <c r="M650">
        <f t="shared" si="50"/>
        <v>2023</v>
      </c>
      <c r="N650">
        <f t="shared" si="51"/>
        <v>96</v>
      </c>
    </row>
    <row r="651" spans="1:14" x14ac:dyDescent="0.3">
      <c r="A651" t="s">
        <v>1435</v>
      </c>
      <c r="B651" t="s">
        <v>1436</v>
      </c>
      <c r="C651" s="1">
        <v>45146</v>
      </c>
      <c r="D651" t="s">
        <v>21</v>
      </c>
      <c r="E651" t="s">
        <v>673</v>
      </c>
      <c r="F651" t="s">
        <v>191</v>
      </c>
      <c r="G651" t="s">
        <v>674</v>
      </c>
      <c r="H651" s="1">
        <v>45313</v>
      </c>
      <c r="I651" s="1">
        <v>45334</v>
      </c>
      <c r="J651" s="3">
        <v>2260.2800000000002</v>
      </c>
      <c r="K651" s="4">
        <f t="shared" si="49"/>
        <v>21</v>
      </c>
      <c r="L651" t="str">
        <f t="shared" si="48"/>
        <v>Jan</v>
      </c>
      <c r="M651">
        <f t="shared" si="50"/>
        <v>2024</v>
      </c>
      <c r="N651">
        <f t="shared" si="51"/>
        <v>0</v>
      </c>
    </row>
    <row r="652" spans="1:14" x14ac:dyDescent="0.3">
      <c r="A652" t="s">
        <v>1437</v>
      </c>
      <c r="B652" t="s">
        <v>1438</v>
      </c>
      <c r="C652" s="1">
        <v>23431</v>
      </c>
      <c r="D652" t="s">
        <v>21</v>
      </c>
      <c r="E652" t="s">
        <v>952</v>
      </c>
      <c r="F652" t="s">
        <v>953</v>
      </c>
      <c r="G652" t="s">
        <v>969</v>
      </c>
      <c r="H652" s="1">
        <v>45313</v>
      </c>
      <c r="I652" s="1">
        <v>45338</v>
      </c>
      <c r="J652" s="3">
        <v>2260.2600000000002</v>
      </c>
      <c r="K652" s="4">
        <f t="shared" si="49"/>
        <v>25</v>
      </c>
      <c r="L652" t="str">
        <f t="shared" si="48"/>
        <v>Jan</v>
      </c>
      <c r="M652">
        <f t="shared" si="50"/>
        <v>2024</v>
      </c>
      <c r="N652">
        <f t="shared" si="51"/>
        <v>59</v>
      </c>
    </row>
    <row r="653" spans="1:14" x14ac:dyDescent="0.3">
      <c r="A653" t="s">
        <v>1439</v>
      </c>
      <c r="B653" t="s">
        <v>1440</v>
      </c>
      <c r="C653" s="1">
        <v>24968</v>
      </c>
      <c r="D653" t="s">
        <v>21</v>
      </c>
      <c r="E653" t="s">
        <v>1147</v>
      </c>
      <c r="F653" t="s">
        <v>1128</v>
      </c>
      <c r="G653" t="s">
        <v>1236</v>
      </c>
      <c r="H653" s="1">
        <v>44940</v>
      </c>
      <c r="I653" s="1">
        <v>44946</v>
      </c>
      <c r="J653" s="3">
        <v>2259.73</v>
      </c>
      <c r="K653" s="4">
        <f t="shared" si="49"/>
        <v>6</v>
      </c>
      <c r="L653" t="str">
        <f t="shared" si="48"/>
        <v>Jan</v>
      </c>
      <c r="M653">
        <f t="shared" si="50"/>
        <v>2023</v>
      </c>
      <c r="N653">
        <f t="shared" si="51"/>
        <v>54</v>
      </c>
    </row>
    <row r="654" spans="1:14" x14ac:dyDescent="0.3">
      <c r="A654" t="s">
        <v>1441</v>
      </c>
      <c r="B654" t="s">
        <v>1442</v>
      </c>
      <c r="C654" s="1">
        <v>37682</v>
      </c>
      <c r="D654" t="s">
        <v>15</v>
      </c>
      <c r="E654" t="s">
        <v>1161</v>
      </c>
      <c r="F654" t="s">
        <v>683</v>
      </c>
      <c r="G654" t="s">
        <v>957</v>
      </c>
      <c r="H654" s="1">
        <v>44770</v>
      </c>
      <c r="I654" s="1">
        <v>44773</v>
      </c>
      <c r="J654" s="3">
        <v>2259.0100000000002</v>
      </c>
      <c r="K654" s="4">
        <f t="shared" si="49"/>
        <v>3</v>
      </c>
      <c r="L654" t="str">
        <f t="shared" si="48"/>
        <v>Jul</v>
      </c>
      <c r="M654">
        <f t="shared" si="50"/>
        <v>2022</v>
      </c>
      <c r="N654">
        <f t="shared" si="51"/>
        <v>19</v>
      </c>
    </row>
    <row r="655" spans="1:14" x14ac:dyDescent="0.3">
      <c r="A655" t="s">
        <v>1443</v>
      </c>
      <c r="B655" t="s">
        <v>1444</v>
      </c>
      <c r="C655" s="1">
        <v>43222</v>
      </c>
      <c r="D655" t="s">
        <v>15</v>
      </c>
      <c r="E655" t="s">
        <v>1147</v>
      </c>
      <c r="F655" t="s">
        <v>1128</v>
      </c>
      <c r="G655" t="s">
        <v>1149</v>
      </c>
      <c r="H655" s="1">
        <v>45103</v>
      </c>
      <c r="I655" s="1">
        <v>45130</v>
      </c>
      <c r="J655" s="3">
        <v>2251.52</v>
      </c>
      <c r="K655" s="4">
        <f t="shared" si="49"/>
        <v>27</v>
      </c>
      <c r="L655" t="str">
        <f t="shared" si="48"/>
        <v>Jun</v>
      </c>
      <c r="M655">
        <f t="shared" si="50"/>
        <v>2023</v>
      </c>
      <c r="N655">
        <f t="shared" si="51"/>
        <v>5</v>
      </c>
    </row>
    <row r="656" spans="1:14" x14ac:dyDescent="0.3">
      <c r="A656" t="s">
        <v>1445</v>
      </c>
      <c r="B656" t="s">
        <v>1446</v>
      </c>
      <c r="C656" s="1">
        <v>42964</v>
      </c>
      <c r="D656" t="s">
        <v>15</v>
      </c>
      <c r="E656" t="s">
        <v>1161</v>
      </c>
      <c r="F656" t="s">
        <v>1162</v>
      </c>
      <c r="G656" t="s">
        <v>1248</v>
      </c>
      <c r="H656" s="1">
        <v>45142</v>
      </c>
      <c r="I656" s="1">
        <v>45154</v>
      </c>
      <c r="J656" s="3">
        <v>2248.09</v>
      </c>
      <c r="K656" s="4">
        <f t="shared" si="49"/>
        <v>12</v>
      </c>
      <c r="L656" t="str">
        <f t="shared" si="48"/>
        <v>Aug</v>
      </c>
      <c r="M656">
        <f t="shared" si="50"/>
        <v>2023</v>
      </c>
      <c r="N656">
        <f t="shared" si="51"/>
        <v>5</v>
      </c>
    </row>
    <row r="657" spans="1:14" x14ac:dyDescent="0.3">
      <c r="A657" t="s">
        <v>1447</v>
      </c>
      <c r="B657" t="s">
        <v>1448</v>
      </c>
      <c r="C657" s="1">
        <v>11281</v>
      </c>
      <c r="D657" t="s">
        <v>21</v>
      </c>
      <c r="E657" t="s">
        <v>1138</v>
      </c>
      <c r="F657" t="s">
        <v>1139</v>
      </c>
      <c r="G657" t="s">
        <v>1199</v>
      </c>
      <c r="H657" s="1">
        <v>45123</v>
      </c>
      <c r="I657" s="1">
        <v>45144</v>
      </c>
      <c r="J657" s="3">
        <v>2244.85</v>
      </c>
      <c r="K657" s="4">
        <f t="shared" si="49"/>
        <v>21</v>
      </c>
      <c r="L657" t="str">
        <f t="shared" si="48"/>
        <v>Jul</v>
      </c>
      <c r="M657">
        <f t="shared" si="50"/>
        <v>2023</v>
      </c>
      <c r="N657">
        <f t="shared" si="51"/>
        <v>92</v>
      </c>
    </row>
    <row r="658" spans="1:14" x14ac:dyDescent="0.3">
      <c r="A658" t="s">
        <v>1449</v>
      </c>
      <c r="B658" t="s">
        <v>1450</v>
      </c>
      <c r="C658" s="1">
        <v>32394</v>
      </c>
      <c r="D658" t="s">
        <v>15</v>
      </c>
      <c r="E658" t="s">
        <v>1214</v>
      </c>
      <c r="F658" t="s">
        <v>1215</v>
      </c>
      <c r="G658" t="s">
        <v>1216</v>
      </c>
      <c r="H658" s="1">
        <v>45429</v>
      </c>
      <c r="I658" s="1">
        <v>45453</v>
      </c>
      <c r="J658" s="3">
        <v>2222.89</v>
      </c>
      <c r="K658" s="4">
        <f t="shared" si="49"/>
        <v>24</v>
      </c>
      <c r="L658" t="str">
        <f t="shared" si="48"/>
        <v>May</v>
      </c>
      <c r="M658">
        <f t="shared" si="50"/>
        <v>2024</v>
      </c>
      <c r="N658">
        <f t="shared" si="51"/>
        <v>35</v>
      </c>
    </row>
    <row r="659" spans="1:14" x14ac:dyDescent="0.3">
      <c r="A659" t="s">
        <v>1451</v>
      </c>
      <c r="B659" t="s">
        <v>1452</v>
      </c>
      <c r="C659" s="1">
        <v>23582</v>
      </c>
      <c r="D659" t="s">
        <v>21</v>
      </c>
      <c r="E659" t="s">
        <v>1171</v>
      </c>
      <c r="F659" t="s">
        <v>295</v>
      </c>
      <c r="G659" t="s">
        <v>1179</v>
      </c>
      <c r="H659" s="1">
        <v>45120</v>
      </c>
      <c r="I659" s="1">
        <v>45132</v>
      </c>
      <c r="J659" s="3">
        <v>2221.52</v>
      </c>
      <c r="K659" s="4">
        <f t="shared" si="49"/>
        <v>12</v>
      </c>
      <c r="L659" t="str">
        <f t="shared" si="48"/>
        <v>Jul</v>
      </c>
      <c r="M659">
        <f t="shared" si="50"/>
        <v>2023</v>
      </c>
      <c r="N659">
        <f t="shared" si="51"/>
        <v>58</v>
      </c>
    </row>
    <row r="660" spans="1:14" x14ac:dyDescent="0.3">
      <c r="A660" t="s">
        <v>1453</v>
      </c>
      <c r="B660" t="s">
        <v>1454</v>
      </c>
      <c r="C660" s="1">
        <v>43810</v>
      </c>
      <c r="D660" t="s">
        <v>21</v>
      </c>
      <c r="E660" t="s">
        <v>1147</v>
      </c>
      <c r="F660" t="s">
        <v>1235</v>
      </c>
      <c r="G660" t="s">
        <v>1236</v>
      </c>
      <c r="H660" s="1">
        <v>45090</v>
      </c>
      <c r="I660" s="1">
        <v>45091</v>
      </c>
      <c r="J660" s="3">
        <v>2206.64</v>
      </c>
      <c r="K660" s="4">
        <f t="shared" si="49"/>
        <v>1</v>
      </c>
      <c r="L660" t="str">
        <f t="shared" si="48"/>
        <v>Jun</v>
      </c>
      <c r="M660">
        <f t="shared" si="50"/>
        <v>2023</v>
      </c>
      <c r="N660">
        <f t="shared" si="51"/>
        <v>3</v>
      </c>
    </row>
    <row r="661" spans="1:14" x14ac:dyDescent="0.3">
      <c r="A661" t="s">
        <v>1455</v>
      </c>
      <c r="B661" t="s">
        <v>1456</v>
      </c>
      <c r="C661" s="1">
        <v>11706</v>
      </c>
      <c r="D661" t="s">
        <v>15</v>
      </c>
      <c r="E661" t="s">
        <v>682</v>
      </c>
      <c r="F661" t="s">
        <v>746</v>
      </c>
      <c r="G661" t="s">
        <v>704</v>
      </c>
      <c r="H661" s="1">
        <v>44473</v>
      </c>
      <c r="I661" s="1">
        <v>44478</v>
      </c>
      <c r="J661" s="3">
        <v>2194.42</v>
      </c>
      <c r="K661" s="4">
        <f t="shared" si="49"/>
        <v>5</v>
      </c>
      <c r="L661" t="str">
        <f t="shared" si="48"/>
        <v>Oct</v>
      </c>
      <c r="M661">
        <f t="shared" si="50"/>
        <v>2021</v>
      </c>
      <c r="N661">
        <f t="shared" si="51"/>
        <v>89</v>
      </c>
    </row>
    <row r="662" spans="1:14" x14ac:dyDescent="0.3">
      <c r="A662" t="s">
        <v>1457</v>
      </c>
      <c r="B662" t="s">
        <v>1458</v>
      </c>
      <c r="C662" s="1">
        <v>40616</v>
      </c>
      <c r="D662" t="s">
        <v>21</v>
      </c>
      <c r="E662" t="s">
        <v>1161</v>
      </c>
      <c r="F662" t="s">
        <v>1162</v>
      </c>
      <c r="G662" t="s">
        <v>1163</v>
      </c>
      <c r="H662" s="1">
        <v>45275</v>
      </c>
      <c r="I662" s="1">
        <v>45295</v>
      </c>
      <c r="J662" s="3">
        <v>2192.88</v>
      </c>
      <c r="K662" s="4">
        <f t="shared" si="49"/>
        <v>20</v>
      </c>
      <c r="L662" t="str">
        <f t="shared" si="48"/>
        <v>Dec</v>
      </c>
      <c r="M662">
        <f t="shared" si="50"/>
        <v>2023</v>
      </c>
      <c r="N662">
        <f t="shared" si="51"/>
        <v>12</v>
      </c>
    </row>
    <row r="663" spans="1:14" x14ac:dyDescent="0.3">
      <c r="A663" t="s">
        <v>1459</v>
      </c>
      <c r="B663" t="s">
        <v>1460</v>
      </c>
      <c r="C663" s="1">
        <v>28149</v>
      </c>
      <c r="D663" t="s">
        <v>21</v>
      </c>
      <c r="E663" t="s">
        <v>1127</v>
      </c>
      <c r="F663" t="s">
        <v>1168</v>
      </c>
      <c r="G663" t="s">
        <v>1154</v>
      </c>
      <c r="H663" s="1">
        <v>44423</v>
      </c>
      <c r="I663" s="1">
        <v>44432</v>
      </c>
      <c r="J663" s="3">
        <v>2186.5700000000002</v>
      </c>
      <c r="K663" s="4">
        <f t="shared" si="49"/>
        <v>9</v>
      </c>
      <c r="L663" t="str">
        <f t="shared" si="48"/>
        <v>Aug</v>
      </c>
      <c r="M663">
        <f t="shared" si="50"/>
        <v>2021</v>
      </c>
      <c r="N663">
        <f t="shared" si="51"/>
        <v>44</v>
      </c>
    </row>
    <row r="664" spans="1:14" x14ac:dyDescent="0.3">
      <c r="A664" t="s">
        <v>1461</v>
      </c>
      <c r="B664" t="s">
        <v>1462</v>
      </c>
      <c r="C664" s="1">
        <v>10776</v>
      </c>
      <c r="D664" t="s">
        <v>21</v>
      </c>
      <c r="E664" t="s">
        <v>1214</v>
      </c>
      <c r="F664" t="s">
        <v>84</v>
      </c>
      <c r="G664" t="s">
        <v>1225</v>
      </c>
      <c r="H664" s="1">
        <v>44918</v>
      </c>
      <c r="I664" s="1">
        <v>44926</v>
      </c>
      <c r="J664" s="3">
        <v>2154.41</v>
      </c>
      <c r="K664" s="4">
        <f t="shared" si="49"/>
        <v>8</v>
      </c>
      <c r="L664" t="str">
        <f t="shared" si="48"/>
        <v>Dec</v>
      </c>
      <c r="M664">
        <f t="shared" si="50"/>
        <v>2022</v>
      </c>
      <c r="N664">
        <f t="shared" si="51"/>
        <v>93</v>
      </c>
    </row>
    <row r="665" spans="1:14" x14ac:dyDescent="0.3">
      <c r="A665" t="s">
        <v>1463</v>
      </c>
      <c r="B665" t="s">
        <v>1464</v>
      </c>
      <c r="C665" s="1">
        <v>19247</v>
      </c>
      <c r="D665" t="s">
        <v>15</v>
      </c>
      <c r="E665" t="s">
        <v>2144</v>
      </c>
      <c r="F665" t="s">
        <v>295</v>
      </c>
      <c r="G665" t="s">
        <v>1332</v>
      </c>
      <c r="H665" s="1">
        <v>45095</v>
      </c>
      <c r="I665" s="1">
        <v>45101</v>
      </c>
      <c r="J665" s="3">
        <v>2153.6</v>
      </c>
      <c r="K665" s="4">
        <f t="shared" si="49"/>
        <v>6</v>
      </c>
      <c r="L665" t="str">
        <f t="shared" si="48"/>
        <v>Jun</v>
      </c>
      <c r="M665">
        <f t="shared" si="50"/>
        <v>2023</v>
      </c>
      <c r="N665">
        <f t="shared" si="51"/>
        <v>70</v>
      </c>
    </row>
    <row r="666" spans="1:14" x14ac:dyDescent="0.3">
      <c r="A666" t="s">
        <v>1465</v>
      </c>
      <c r="B666" t="s">
        <v>1466</v>
      </c>
      <c r="C666" s="1">
        <v>19982</v>
      </c>
      <c r="D666" t="s">
        <v>15</v>
      </c>
      <c r="E666" t="s">
        <v>1171</v>
      </c>
      <c r="F666" t="s">
        <v>1128</v>
      </c>
      <c r="G666" t="s">
        <v>1179</v>
      </c>
      <c r="H666" s="1">
        <v>45206</v>
      </c>
      <c r="I666" s="1">
        <v>45213</v>
      </c>
      <c r="J666" s="3">
        <v>2149.85</v>
      </c>
      <c r="K666" s="4">
        <f t="shared" si="49"/>
        <v>7</v>
      </c>
      <c r="L666" t="str">
        <f t="shared" si="48"/>
        <v>Oct</v>
      </c>
      <c r="M666">
        <f t="shared" si="50"/>
        <v>2023</v>
      </c>
      <c r="N666">
        <f t="shared" si="51"/>
        <v>69</v>
      </c>
    </row>
    <row r="667" spans="1:14" x14ac:dyDescent="0.3">
      <c r="A667" t="s">
        <v>1467</v>
      </c>
      <c r="B667" t="s">
        <v>1468</v>
      </c>
      <c r="C667" s="1">
        <v>8732</v>
      </c>
      <c r="D667" t="s">
        <v>15</v>
      </c>
      <c r="E667" t="s">
        <v>1147</v>
      </c>
      <c r="F667" t="s">
        <v>1339</v>
      </c>
      <c r="G667" t="s">
        <v>1236</v>
      </c>
      <c r="H667" s="1">
        <v>45016</v>
      </c>
      <c r="I667" s="1">
        <v>45044</v>
      </c>
      <c r="J667" s="3">
        <v>2146.7199999999998</v>
      </c>
      <c r="K667" s="4">
        <f t="shared" si="49"/>
        <v>28</v>
      </c>
      <c r="L667" t="str">
        <f t="shared" si="48"/>
        <v>Mar</v>
      </c>
      <c r="M667">
        <f t="shared" si="50"/>
        <v>2023</v>
      </c>
      <c r="N667">
        <f t="shared" si="51"/>
        <v>99</v>
      </c>
    </row>
    <row r="668" spans="1:14" x14ac:dyDescent="0.3">
      <c r="A668" t="s">
        <v>1469</v>
      </c>
      <c r="B668" t="s">
        <v>1470</v>
      </c>
      <c r="C668" s="1">
        <v>14016</v>
      </c>
      <c r="D668" t="s">
        <v>15</v>
      </c>
      <c r="E668" t="s">
        <v>1171</v>
      </c>
      <c r="F668" t="s">
        <v>295</v>
      </c>
      <c r="G668" t="s">
        <v>1184</v>
      </c>
      <c r="H668" s="1">
        <v>45031</v>
      </c>
      <c r="I668" s="1">
        <v>45058</v>
      </c>
      <c r="J668" s="3">
        <v>2137.16</v>
      </c>
      <c r="K668" s="4">
        <f t="shared" si="49"/>
        <v>27</v>
      </c>
      <c r="L668" t="str">
        <f t="shared" si="48"/>
        <v>Apr</v>
      </c>
      <c r="M668">
        <f t="shared" si="50"/>
        <v>2023</v>
      </c>
      <c r="N668">
        <f t="shared" si="51"/>
        <v>84</v>
      </c>
    </row>
    <row r="669" spans="1:14" x14ac:dyDescent="0.3">
      <c r="A669" t="s">
        <v>1471</v>
      </c>
      <c r="B669" t="s">
        <v>1472</v>
      </c>
      <c r="C669" s="1">
        <v>13270</v>
      </c>
      <c r="D669" t="s">
        <v>15</v>
      </c>
      <c r="E669" t="s">
        <v>1138</v>
      </c>
      <c r="F669" t="s">
        <v>1243</v>
      </c>
      <c r="G669" t="s">
        <v>1140</v>
      </c>
      <c r="H669" s="1">
        <v>45251</v>
      </c>
      <c r="I669" s="1">
        <v>45277</v>
      </c>
      <c r="J669" s="3">
        <v>2134.81</v>
      </c>
      <c r="K669" s="4">
        <f t="shared" si="49"/>
        <v>26</v>
      </c>
      <c r="L669" t="str">
        <f t="shared" si="48"/>
        <v>Nov</v>
      </c>
      <c r="M669">
        <f t="shared" si="50"/>
        <v>2023</v>
      </c>
      <c r="N669">
        <f t="shared" si="51"/>
        <v>87</v>
      </c>
    </row>
    <row r="670" spans="1:14" x14ac:dyDescent="0.3">
      <c r="A670" t="s">
        <v>1473</v>
      </c>
      <c r="B670" t="s">
        <v>1474</v>
      </c>
      <c r="C670" s="1">
        <v>40403</v>
      </c>
      <c r="D670" t="s">
        <v>21</v>
      </c>
      <c r="E670" t="s">
        <v>1138</v>
      </c>
      <c r="F670" t="s">
        <v>1139</v>
      </c>
      <c r="G670" t="s">
        <v>1232</v>
      </c>
      <c r="H670" s="1">
        <v>45416</v>
      </c>
      <c r="I670" s="1">
        <v>45445</v>
      </c>
      <c r="J670" s="3">
        <v>2128.3000000000002</v>
      </c>
      <c r="K670" s="4">
        <f xml:space="preserve"> I670-H670</f>
        <v>29</v>
      </c>
      <c r="L670" t="str">
        <f t="shared" si="48"/>
        <v>May</v>
      </c>
      <c r="M670">
        <f t="shared" si="50"/>
        <v>2024</v>
      </c>
      <c r="N670">
        <f t="shared" si="51"/>
        <v>13</v>
      </c>
    </row>
    <row r="671" spans="1:14" x14ac:dyDescent="0.3">
      <c r="A671" t="s">
        <v>1475</v>
      </c>
      <c r="B671" t="s">
        <v>1476</v>
      </c>
      <c r="C671" s="1">
        <v>41447</v>
      </c>
      <c r="D671" t="s">
        <v>15</v>
      </c>
      <c r="E671" t="s">
        <v>952</v>
      </c>
      <c r="F671" t="s">
        <v>953</v>
      </c>
      <c r="G671" t="s">
        <v>969</v>
      </c>
      <c r="H671" s="1">
        <v>44563</v>
      </c>
      <c r="I671" s="1">
        <v>44581</v>
      </c>
      <c r="J671" s="3">
        <v>2125.5100000000002</v>
      </c>
      <c r="K671" s="4">
        <f t="shared" ref="K671:K697" si="52" xml:space="preserve"> I671-H671</f>
        <v>18</v>
      </c>
      <c r="L671" t="str">
        <f t="shared" si="48"/>
        <v>Jan</v>
      </c>
      <c r="M671">
        <f t="shared" si="50"/>
        <v>2022</v>
      </c>
      <c r="N671">
        <f t="shared" si="51"/>
        <v>8</v>
      </c>
    </row>
    <row r="672" spans="1:14" x14ac:dyDescent="0.3">
      <c r="A672" t="s">
        <v>1477</v>
      </c>
      <c r="B672" t="s">
        <v>1478</v>
      </c>
      <c r="C672" s="1">
        <v>12737</v>
      </c>
      <c r="D672" t="s">
        <v>21</v>
      </c>
      <c r="E672" t="s">
        <v>936</v>
      </c>
      <c r="F672" t="s">
        <v>286</v>
      </c>
      <c r="G672" t="s">
        <v>938</v>
      </c>
      <c r="H672" s="1">
        <v>45079</v>
      </c>
      <c r="I672" s="1">
        <v>45108</v>
      </c>
      <c r="J672" s="3">
        <v>2122.67</v>
      </c>
      <c r="K672" s="4">
        <f t="shared" si="52"/>
        <v>29</v>
      </c>
      <c r="L672" t="str">
        <f t="shared" si="48"/>
        <v>Jun</v>
      </c>
      <c r="M672">
        <f t="shared" si="50"/>
        <v>2023</v>
      </c>
      <c r="N672">
        <f t="shared" si="51"/>
        <v>88</v>
      </c>
    </row>
    <row r="673" spans="1:14" x14ac:dyDescent="0.3">
      <c r="A673" t="s">
        <v>1479</v>
      </c>
      <c r="B673" t="s">
        <v>1480</v>
      </c>
      <c r="C673" s="1">
        <v>22193</v>
      </c>
      <c r="D673" t="s">
        <v>15</v>
      </c>
      <c r="E673" t="s">
        <v>657</v>
      </c>
      <c r="F673" t="s">
        <v>191</v>
      </c>
      <c r="G673" t="s">
        <v>699</v>
      </c>
      <c r="H673" s="1">
        <v>44736</v>
      </c>
      <c r="I673" s="1">
        <v>44757</v>
      </c>
      <c r="J673" s="3">
        <v>2120.38</v>
      </c>
      <c r="K673" s="4">
        <f t="shared" si="52"/>
        <v>21</v>
      </c>
      <c r="L673" t="str">
        <f t="shared" si="48"/>
        <v>Jun</v>
      </c>
      <c r="M673">
        <f t="shared" si="50"/>
        <v>2022</v>
      </c>
      <c r="N673">
        <f t="shared" si="51"/>
        <v>61</v>
      </c>
    </row>
    <row r="674" spans="1:14" x14ac:dyDescent="0.3">
      <c r="A674" t="s">
        <v>1481</v>
      </c>
      <c r="B674" t="s">
        <v>1482</v>
      </c>
      <c r="C674" s="1">
        <v>23673</v>
      </c>
      <c r="D674" t="s">
        <v>15</v>
      </c>
      <c r="E674" t="s">
        <v>922</v>
      </c>
      <c r="F674" t="s">
        <v>84</v>
      </c>
      <c r="G674" t="s">
        <v>923</v>
      </c>
      <c r="H674" s="1">
        <v>45344</v>
      </c>
      <c r="I674" s="1">
        <v>45374</v>
      </c>
      <c r="J674" s="3">
        <v>2118.12</v>
      </c>
      <c r="K674" s="4">
        <f t="shared" si="52"/>
        <v>30</v>
      </c>
      <c r="L674" t="str">
        <f t="shared" si="48"/>
        <v>Feb</v>
      </c>
      <c r="M674">
        <f t="shared" si="50"/>
        <v>2024</v>
      </c>
      <c r="N674">
        <f t="shared" si="51"/>
        <v>59</v>
      </c>
    </row>
    <row r="675" spans="1:14" x14ac:dyDescent="0.3">
      <c r="A675" t="s">
        <v>1483</v>
      </c>
      <c r="B675" t="s">
        <v>1484</v>
      </c>
      <c r="C675" s="1">
        <v>42374</v>
      </c>
      <c r="D675" t="s">
        <v>21</v>
      </c>
      <c r="E675" t="s">
        <v>1161</v>
      </c>
      <c r="F675" t="s">
        <v>1162</v>
      </c>
      <c r="G675" t="s">
        <v>1248</v>
      </c>
      <c r="H675" s="1">
        <v>44925</v>
      </c>
      <c r="I675" s="1">
        <v>44930</v>
      </c>
      <c r="J675" s="3">
        <v>2111.14</v>
      </c>
      <c r="K675" s="4">
        <f t="shared" si="52"/>
        <v>5</v>
      </c>
      <c r="L675" t="str">
        <f t="shared" si="48"/>
        <v>Dec</v>
      </c>
      <c r="M675">
        <f t="shared" si="50"/>
        <v>2022</v>
      </c>
      <c r="N675">
        <f t="shared" si="51"/>
        <v>6</v>
      </c>
    </row>
    <row r="676" spans="1:14" x14ac:dyDescent="0.3">
      <c r="A676" t="s">
        <v>1485</v>
      </c>
      <c r="B676" t="s">
        <v>1486</v>
      </c>
      <c r="C676" s="1">
        <v>35115</v>
      </c>
      <c r="D676" t="s">
        <v>15</v>
      </c>
      <c r="E676" t="s">
        <v>1127</v>
      </c>
      <c r="F676" t="s">
        <v>91</v>
      </c>
      <c r="G676" t="s">
        <v>1154</v>
      </c>
      <c r="H676" s="1">
        <v>45128</v>
      </c>
      <c r="I676" s="1">
        <v>45135</v>
      </c>
      <c r="J676" s="3">
        <v>2110.16</v>
      </c>
      <c r="K676" s="4">
        <f t="shared" si="52"/>
        <v>7</v>
      </c>
      <c r="L676" t="str">
        <f t="shared" si="48"/>
        <v>Jul</v>
      </c>
      <c r="M676">
        <f t="shared" si="50"/>
        <v>2023</v>
      </c>
      <c r="N676">
        <f t="shared" si="51"/>
        <v>27</v>
      </c>
    </row>
    <row r="677" spans="1:14" x14ac:dyDescent="0.3">
      <c r="A677" t="s">
        <v>1487</v>
      </c>
      <c r="B677" t="s">
        <v>1488</v>
      </c>
      <c r="C677" s="1">
        <v>9589</v>
      </c>
      <c r="D677" t="s">
        <v>21</v>
      </c>
      <c r="E677" t="s">
        <v>922</v>
      </c>
      <c r="F677" t="s">
        <v>84</v>
      </c>
      <c r="G677" t="s">
        <v>930</v>
      </c>
      <c r="H677" s="1">
        <v>44615</v>
      </c>
      <c r="I677" s="1">
        <v>44630</v>
      </c>
      <c r="J677" s="3">
        <v>2108.17</v>
      </c>
      <c r="K677" s="4">
        <f t="shared" si="52"/>
        <v>15</v>
      </c>
      <c r="L677" t="str">
        <f t="shared" si="48"/>
        <v>Feb</v>
      </c>
      <c r="M677">
        <f t="shared" si="50"/>
        <v>2022</v>
      </c>
      <c r="N677">
        <f t="shared" si="51"/>
        <v>95</v>
      </c>
    </row>
    <row r="678" spans="1:14" x14ac:dyDescent="0.3">
      <c r="A678" t="s">
        <v>1489</v>
      </c>
      <c r="B678" t="s">
        <v>1490</v>
      </c>
      <c r="C678" s="1">
        <v>40008</v>
      </c>
      <c r="D678" t="s">
        <v>21</v>
      </c>
      <c r="E678" t="s">
        <v>2144</v>
      </c>
      <c r="F678" t="s">
        <v>295</v>
      </c>
      <c r="G678" t="s">
        <v>1332</v>
      </c>
      <c r="H678" s="1">
        <v>44890</v>
      </c>
      <c r="I678" s="1">
        <v>44920</v>
      </c>
      <c r="J678" s="3">
        <v>2099.39</v>
      </c>
      <c r="K678" s="4">
        <f t="shared" si="52"/>
        <v>30</v>
      </c>
      <c r="L678" t="str">
        <f t="shared" si="48"/>
        <v>Nov</v>
      </c>
      <c r="M678">
        <f t="shared" si="50"/>
        <v>2022</v>
      </c>
      <c r="N678">
        <f t="shared" si="51"/>
        <v>13</v>
      </c>
    </row>
    <row r="679" spans="1:14" x14ac:dyDescent="0.3">
      <c r="A679" t="s">
        <v>1491</v>
      </c>
      <c r="B679" t="s">
        <v>1492</v>
      </c>
      <c r="C679" s="1">
        <v>31388</v>
      </c>
      <c r="D679" t="s">
        <v>15</v>
      </c>
      <c r="E679" t="s">
        <v>952</v>
      </c>
      <c r="F679" t="s">
        <v>953</v>
      </c>
      <c r="G679" t="s">
        <v>954</v>
      </c>
      <c r="H679" s="1">
        <v>45044</v>
      </c>
      <c r="I679" s="1">
        <v>45058</v>
      </c>
      <c r="J679" s="3">
        <v>2069.83</v>
      </c>
      <c r="K679" s="4">
        <f t="shared" si="52"/>
        <v>14</v>
      </c>
      <c r="L679" t="str">
        <f t="shared" si="48"/>
        <v>Apr</v>
      </c>
      <c r="M679">
        <f t="shared" si="50"/>
        <v>2023</v>
      </c>
      <c r="N679">
        <f t="shared" si="51"/>
        <v>37</v>
      </c>
    </row>
    <row r="680" spans="1:14" x14ac:dyDescent="0.3">
      <c r="A680" t="s">
        <v>1493</v>
      </c>
      <c r="B680" t="s">
        <v>1494</v>
      </c>
      <c r="C680" s="1">
        <v>22809</v>
      </c>
      <c r="D680" t="s">
        <v>21</v>
      </c>
      <c r="E680" t="s">
        <v>1214</v>
      </c>
      <c r="F680" t="s">
        <v>1215</v>
      </c>
      <c r="G680" t="s">
        <v>1216</v>
      </c>
      <c r="H680" s="1">
        <v>45053</v>
      </c>
      <c r="I680" s="1">
        <v>45054</v>
      </c>
      <c r="J680" s="3">
        <v>2053.0500000000002</v>
      </c>
      <c r="K680" s="4">
        <f t="shared" si="52"/>
        <v>1</v>
      </c>
      <c r="L680" t="str">
        <f t="shared" si="48"/>
        <v>May</v>
      </c>
      <c r="M680">
        <f t="shared" si="50"/>
        <v>2023</v>
      </c>
      <c r="N680">
        <f t="shared" si="51"/>
        <v>60</v>
      </c>
    </row>
    <row r="681" spans="1:14" x14ac:dyDescent="0.3">
      <c r="A681" t="s">
        <v>1495</v>
      </c>
      <c r="B681" t="s">
        <v>1496</v>
      </c>
      <c r="C681" s="1">
        <v>36362</v>
      </c>
      <c r="D681" t="s">
        <v>21</v>
      </c>
      <c r="E681" t="s">
        <v>936</v>
      </c>
      <c r="F681" t="s">
        <v>286</v>
      </c>
      <c r="G681" t="s">
        <v>938</v>
      </c>
      <c r="H681" s="1">
        <v>44702</v>
      </c>
      <c r="I681" s="1">
        <v>44713</v>
      </c>
      <c r="J681" s="3">
        <v>2028.65</v>
      </c>
      <c r="K681" s="4">
        <f t="shared" si="52"/>
        <v>11</v>
      </c>
      <c r="L681" t="str">
        <f t="shared" si="48"/>
        <v>May</v>
      </c>
      <c r="M681">
        <f t="shared" si="50"/>
        <v>2022</v>
      </c>
      <c r="N681">
        <f t="shared" si="51"/>
        <v>22</v>
      </c>
    </row>
    <row r="682" spans="1:14" x14ac:dyDescent="0.3">
      <c r="A682" t="s">
        <v>1497</v>
      </c>
      <c r="B682" t="s">
        <v>1498</v>
      </c>
      <c r="C682" s="1">
        <v>31254</v>
      </c>
      <c r="D682" t="s">
        <v>15</v>
      </c>
      <c r="E682" t="s">
        <v>1161</v>
      </c>
      <c r="F682" t="s">
        <v>1162</v>
      </c>
      <c r="G682" t="s">
        <v>957</v>
      </c>
      <c r="H682" s="1">
        <v>44573</v>
      </c>
      <c r="I682" s="1">
        <v>44597</v>
      </c>
      <c r="J682" s="3">
        <v>2028.07</v>
      </c>
      <c r="K682" s="4">
        <f t="shared" si="52"/>
        <v>24</v>
      </c>
      <c r="L682" t="str">
        <f t="shared" si="48"/>
        <v>Jan</v>
      </c>
      <c r="M682">
        <f t="shared" si="50"/>
        <v>2022</v>
      </c>
      <c r="N682">
        <f t="shared" si="51"/>
        <v>36</v>
      </c>
    </row>
    <row r="683" spans="1:14" x14ac:dyDescent="0.3">
      <c r="A683" t="s">
        <v>1499</v>
      </c>
      <c r="B683" t="s">
        <v>1500</v>
      </c>
      <c r="C683" s="1">
        <v>29599</v>
      </c>
      <c r="D683" t="s">
        <v>15</v>
      </c>
      <c r="E683" t="s">
        <v>2144</v>
      </c>
      <c r="F683" t="s">
        <v>295</v>
      </c>
      <c r="G683" t="s">
        <v>1228</v>
      </c>
      <c r="H683" s="1">
        <v>45201</v>
      </c>
      <c r="I683" s="1">
        <v>45209</v>
      </c>
      <c r="J683" s="3">
        <v>2027.53</v>
      </c>
      <c r="K683" s="4">
        <f t="shared" si="52"/>
        <v>8</v>
      </c>
      <c r="L683" t="str">
        <f t="shared" ref="L683:L746" si="53">TEXT(H683,"mmm")</f>
        <v>Oct</v>
      </c>
      <c r="M683">
        <f t="shared" si="50"/>
        <v>2023</v>
      </c>
      <c r="N683">
        <f t="shared" si="51"/>
        <v>42</v>
      </c>
    </row>
    <row r="684" spans="1:14" x14ac:dyDescent="0.3">
      <c r="A684" t="s">
        <v>1501</v>
      </c>
      <c r="B684" t="s">
        <v>1502</v>
      </c>
      <c r="C684" s="1">
        <v>20920</v>
      </c>
      <c r="D684" t="s">
        <v>15</v>
      </c>
      <c r="E684" t="s">
        <v>960</v>
      </c>
      <c r="F684" t="s">
        <v>985</v>
      </c>
      <c r="G684" t="s">
        <v>994</v>
      </c>
      <c r="H684" s="1">
        <v>44642</v>
      </c>
      <c r="I684" s="1">
        <v>44661</v>
      </c>
      <c r="J684" s="3">
        <v>2006.08</v>
      </c>
      <c r="K684" s="4">
        <f t="shared" si="52"/>
        <v>19</v>
      </c>
      <c r="L684" t="str">
        <f t="shared" si="53"/>
        <v>Mar</v>
      </c>
      <c r="M684">
        <f t="shared" si="50"/>
        <v>2022</v>
      </c>
      <c r="N684">
        <f t="shared" si="51"/>
        <v>64</v>
      </c>
    </row>
    <row r="685" spans="1:14" x14ac:dyDescent="0.3">
      <c r="A685" t="s">
        <v>1503</v>
      </c>
      <c r="B685" t="s">
        <v>1504</v>
      </c>
      <c r="C685" s="1">
        <v>27795</v>
      </c>
      <c r="D685" t="s">
        <v>15</v>
      </c>
      <c r="E685" t="s">
        <v>1132</v>
      </c>
      <c r="F685" t="s">
        <v>1187</v>
      </c>
      <c r="G685" t="s">
        <v>1184</v>
      </c>
      <c r="H685" s="1">
        <v>45200</v>
      </c>
      <c r="I685" s="1">
        <v>45225</v>
      </c>
      <c r="J685" s="3">
        <v>2003.18</v>
      </c>
      <c r="K685" s="4">
        <f t="shared" si="52"/>
        <v>25</v>
      </c>
      <c r="L685" t="str">
        <f t="shared" si="53"/>
        <v>Oct</v>
      </c>
      <c r="M685">
        <f t="shared" si="50"/>
        <v>2023</v>
      </c>
      <c r="N685">
        <f t="shared" si="51"/>
        <v>47</v>
      </c>
    </row>
    <row r="686" spans="1:14" x14ac:dyDescent="0.3">
      <c r="A686" t="s">
        <v>1505</v>
      </c>
      <c r="B686" t="s">
        <v>1506</v>
      </c>
      <c r="C686" s="1">
        <v>23915</v>
      </c>
      <c r="D686" t="s">
        <v>15</v>
      </c>
      <c r="E686" t="s">
        <v>1138</v>
      </c>
      <c r="F686" t="s">
        <v>1139</v>
      </c>
      <c r="G686" t="s">
        <v>1199</v>
      </c>
      <c r="H686" s="1">
        <v>44979</v>
      </c>
      <c r="I686" s="1">
        <v>44980</v>
      </c>
      <c r="J686" s="3">
        <v>1991.11</v>
      </c>
      <c r="K686" s="4">
        <f t="shared" si="52"/>
        <v>1</v>
      </c>
      <c r="L686" t="str">
        <f t="shared" si="53"/>
        <v>Feb</v>
      </c>
      <c r="M686">
        <f t="shared" si="50"/>
        <v>2023</v>
      </c>
      <c r="N686">
        <f t="shared" si="51"/>
        <v>57</v>
      </c>
    </row>
    <row r="687" spans="1:14" x14ac:dyDescent="0.3">
      <c r="A687" t="s">
        <v>1507</v>
      </c>
      <c r="B687" t="s">
        <v>1508</v>
      </c>
      <c r="C687" s="1">
        <v>36018</v>
      </c>
      <c r="D687" t="s">
        <v>15</v>
      </c>
      <c r="E687" t="s">
        <v>2144</v>
      </c>
      <c r="F687" t="s">
        <v>295</v>
      </c>
      <c r="G687" t="s">
        <v>1149</v>
      </c>
      <c r="H687" s="1">
        <v>44464</v>
      </c>
      <c r="I687" s="1">
        <v>44493</v>
      </c>
      <c r="J687" s="3">
        <v>1989.13</v>
      </c>
      <c r="K687" s="4">
        <f t="shared" si="52"/>
        <v>29</v>
      </c>
      <c r="L687" t="str">
        <f t="shared" si="53"/>
        <v>Sep</v>
      </c>
      <c r="M687">
        <f t="shared" si="50"/>
        <v>2021</v>
      </c>
      <c r="N687">
        <f t="shared" si="51"/>
        <v>23</v>
      </c>
    </row>
    <row r="688" spans="1:14" x14ac:dyDescent="0.3">
      <c r="A688" t="s">
        <v>1509</v>
      </c>
      <c r="B688" t="s">
        <v>1510</v>
      </c>
      <c r="C688" s="1">
        <v>28955</v>
      </c>
      <c r="D688" t="s">
        <v>21</v>
      </c>
      <c r="E688" t="s">
        <v>1138</v>
      </c>
      <c r="F688" t="s">
        <v>1243</v>
      </c>
      <c r="G688" t="s">
        <v>1199</v>
      </c>
      <c r="H688" s="1">
        <v>44593</v>
      </c>
      <c r="I688" s="1">
        <v>44609</v>
      </c>
      <c r="J688" s="3">
        <v>1989.11</v>
      </c>
      <c r="K688" s="4">
        <f t="shared" si="52"/>
        <v>16</v>
      </c>
      <c r="L688" t="str">
        <f t="shared" si="53"/>
        <v>Feb</v>
      </c>
      <c r="M688">
        <f t="shared" si="50"/>
        <v>2022</v>
      </c>
      <c r="N688">
        <f t="shared" si="51"/>
        <v>42</v>
      </c>
    </row>
    <row r="689" spans="1:14" x14ac:dyDescent="0.3">
      <c r="A689" t="s">
        <v>1511</v>
      </c>
      <c r="B689" t="s">
        <v>1512</v>
      </c>
      <c r="C689" s="1">
        <v>42391</v>
      </c>
      <c r="D689" t="s">
        <v>21</v>
      </c>
      <c r="E689" t="s">
        <v>1132</v>
      </c>
      <c r="F689" t="s">
        <v>295</v>
      </c>
      <c r="G689" t="s">
        <v>1188</v>
      </c>
      <c r="H689" s="1">
        <v>45092</v>
      </c>
      <c r="I689" s="1">
        <v>45099</v>
      </c>
      <c r="J689" s="3">
        <v>1982.24</v>
      </c>
      <c r="K689" s="4">
        <f t="shared" si="52"/>
        <v>7</v>
      </c>
      <c r="L689" t="str">
        <f t="shared" si="53"/>
        <v>Jun</v>
      </c>
      <c r="M689">
        <f t="shared" si="50"/>
        <v>2023</v>
      </c>
      <c r="N689">
        <f t="shared" si="51"/>
        <v>7</v>
      </c>
    </row>
    <row r="690" spans="1:14" x14ac:dyDescent="0.3">
      <c r="A690" t="s">
        <v>1513</v>
      </c>
      <c r="B690" t="s">
        <v>1514</v>
      </c>
      <c r="C690" s="1">
        <v>41923</v>
      </c>
      <c r="D690" t="s">
        <v>21</v>
      </c>
      <c r="E690" t="s">
        <v>1138</v>
      </c>
      <c r="F690" t="s">
        <v>1243</v>
      </c>
      <c r="G690" t="s">
        <v>1199</v>
      </c>
      <c r="H690" s="1">
        <v>44642</v>
      </c>
      <c r="I690" s="1">
        <v>44663</v>
      </c>
      <c r="J690" s="3">
        <v>1976.63</v>
      </c>
      <c r="K690" s="4">
        <f t="shared" si="52"/>
        <v>21</v>
      </c>
      <c r="L690" t="str">
        <f t="shared" si="53"/>
        <v>Mar</v>
      </c>
      <c r="M690">
        <f t="shared" si="50"/>
        <v>2022</v>
      </c>
      <c r="N690">
        <f t="shared" si="51"/>
        <v>7</v>
      </c>
    </row>
    <row r="691" spans="1:14" x14ac:dyDescent="0.3">
      <c r="A691" t="s">
        <v>1515</v>
      </c>
      <c r="B691" t="s">
        <v>1516</v>
      </c>
      <c r="C691" s="1">
        <v>9962</v>
      </c>
      <c r="D691" t="s">
        <v>15</v>
      </c>
      <c r="E691" t="s">
        <v>1132</v>
      </c>
      <c r="F691" t="s">
        <v>1187</v>
      </c>
      <c r="G691" t="s">
        <v>1184</v>
      </c>
      <c r="H691" s="1">
        <v>45265</v>
      </c>
      <c r="I691" s="1">
        <v>45287</v>
      </c>
      <c r="J691" s="3">
        <v>1965.37</v>
      </c>
      <c r="K691" s="4">
        <f t="shared" si="52"/>
        <v>22</v>
      </c>
      <c r="L691" t="str">
        <f t="shared" si="53"/>
        <v>Dec</v>
      </c>
      <c r="M691">
        <f t="shared" si="50"/>
        <v>2023</v>
      </c>
      <c r="N691">
        <f t="shared" si="51"/>
        <v>96</v>
      </c>
    </row>
    <row r="692" spans="1:14" x14ac:dyDescent="0.3">
      <c r="A692" t="s">
        <v>1517</v>
      </c>
      <c r="B692" t="s">
        <v>1518</v>
      </c>
      <c r="C692" s="1">
        <v>29620</v>
      </c>
      <c r="D692" t="s">
        <v>21</v>
      </c>
      <c r="E692" t="s">
        <v>1161</v>
      </c>
      <c r="F692" t="s">
        <v>1162</v>
      </c>
      <c r="G692" t="s">
        <v>957</v>
      </c>
      <c r="H692" s="1">
        <v>44976</v>
      </c>
      <c r="I692" s="1">
        <v>45002</v>
      </c>
      <c r="J692" s="3">
        <v>1961.96</v>
      </c>
      <c r="K692" s="4">
        <f t="shared" si="52"/>
        <v>26</v>
      </c>
      <c r="L692" t="str">
        <f t="shared" si="53"/>
        <v>Feb</v>
      </c>
      <c r="M692">
        <f t="shared" si="50"/>
        <v>2023</v>
      </c>
      <c r="N692">
        <f t="shared" si="51"/>
        <v>42</v>
      </c>
    </row>
    <row r="693" spans="1:14" x14ac:dyDescent="0.3">
      <c r="A693" t="s">
        <v>1519</v>
      </c>
      <c r="B693" t="s">
        <v>1520</v>
      </c>
      <c r="C693" s="1">
        <v>16867</v>
      </c>
      <c r="D693" t="s">
        <v>21</v>
      </c>
      <c r="E693" t="s">
        <v>1147</v>
      </c>
      <c r="F693" t="s">
        <v>1128</v>
      </c>
      <c r="G693" t="s">
        <v>1236</v>
      </c>
      <c r="H693" s="1">
        <v>45061</v>
      </c>
      <c r="I693" s="1">
        <v>45081</v>
      </c>
      <c r="J693" s="3">
        <v>1941.91</v>
      </c>
      <c r="K693" s="4">
        <f t="shared" si="52"/>
        <v>20</v>
      </c>
      <c r="L693" t="str">
        <f t="shared" si="53"/>
        <v>May</v>
      </c>
      <c r="M693">
        <f t="shared" si="50"/>
        <v>2023</v>
      </c>
      <c r="N693">
        <f t="shared" si="51"/>
        <v>77</v>
      </c>
    </row>
    <row r="694" spans="1:14" x14ac:dyDescent="0.3">
      <c r="A694" t="s">
        <v>1521</v>
      </c>
      <c r="B694" t="s">
        <v>1522</v>
      </c>
      <c r="C694" s="1">
        <v>44953</v>
      </c>
      <c r="D694" t="s">
        <v>15</v>
      </c>
      <c r="E694" t="s">
        <v>922</v>
      </c>
      <c r="F694" t="s">
        <v>84</v>
      </c>
      <c r="G694" t="s">
        <v>933</v>
      </c>
      <c r="H694" s="1">
        <v>45357</v>
      </c>
      <c r="I694" s="1">
        <v>45361</v>
      </c>
      <c r="J694" s="3">
        <v>1941.64</v>
      </c>
      <c r="K694" s="4">
        <f t="shared" si="52"/>
        <v>4</v>
      </c>
      <c r="L694" t="str">
        <f t="shared" si="53"/>
        <v>Mar</v>
      </c>
      <c r="M694">
        <f t="shared" si="50"/>
        <v>2024</v>
      </c>
      <c r="N694">
        <f t="shared" si="51"/>
        <v>1</v>
      </c>
    </row>
    <row r="695" spans="1:14" x14ac:dyDescent="0.3">
      <c r="A695" t="s">
        <v>1523</v>
      </c>
      <c r="B695" t="s">
        <v>1524</v>
      </c>
      <c r="C695" s="1">
        <v>17413</v>
      </c>
      <c r="D695" t="s">
        <v>21</v>
      </c>
      <c r="E695" t="s">
        <v>1171</v>
      </c>
      <c r="F695" t="s">
        <v>295</v>
      </c>
      <c r="G695" t="s">
        <v>1179</v>
      </c>
      <c r="H695" s="1">
        <v>44676</v>
      </c>
      <c r="I695" s="1">
        <v>44678</v>
      </c>
      <c r="J695" s="3">
        <v>1939.73</v>
      </c>
      <c r="K695" s="4">
        <f t="shared" si="52"/>
        <v>2</v>
      </c>
      <c r="L695" t="str">
        <f t="shared" si="53"/>
        <v>Apr</v>
      </c>
      <c r="M695">
        <f t="shared" si="50"/>
        <v>2022</v>
      </c>
      <c r="N695">
        <f t="shared" si="51"/>
        <v>74</v>
      </c>
    </row>
    <row r="696" spans="1:14" x14ac:dyDescent="0.3">
      <c r="A696" t="s">
        <v>1525</v>
      </c>
      <c r="B696" t="s">
        <v>1526</v>
      </c>
      <c r="C696" s="1">
        <v>25098</v>
      </c>
      <c r="D696" t="s">
        <v>21</v>
      </c>
      <c r="E696" t="s">
        <v>922</v>
      </c>
      <c r="F696" t="s">
        <v>84</v>
      </c>
      <c r="G696" t="s">
        <v>933</v>
      </c>
      <c r="H696" s="1">
        <v>45446</v>
      </c>
      <c r="I696" s="1">
        <v>45454</v>
      </c>
      <c r="J696" s="3">
        <v>1936.38</v>
      </c>
      <c r="K696" s="4">
        <f t="shared" si="52"/>
        <v>8</v>
      </c>
      <c r="L696" t="str">
        <f t="shared" si="53"/>
        <v>Jun</v>
      </c>
      <c r="M696">
        <f t="shared" ref="M696:M759" si="54">YEAR(H696)</f>
        <v>2024</v>
      </c>
      <c r="N696">
        <f t="shared" ref="N696:N759" si="55">DATEDIF(C696, H696, "Y")</f>
        <v>55</v>
      </c>
    </row>
    <row r="697" spans="1:14" x14ac:dyDescent="0.3">
      <c r="A697" t="s">
        <v>1527</v>
      </c>
      <c r="B697" t="s">
        <v>1528</v>
      </c>
      <c r="C697" s="1">
        <v>25918</v>
      </c>
      <c r="D697" t="s">
        <v>21</v>
      </c>
      <c r="E697" t="s">
        <v>1147</v>
      </c>
      <c r="F697" t="s">
        <v>1235</v>
      </c>
      <c r="G697" t="s">
        <v>1236</v>
      </c>
      <c r="H697" s="1">
        <v>45355</v>
      </c>
      <c r="I697" s="1">
        <v>45379</v>
      </c>
      <c r="J697" s="3">
        <v>1926.77</v>
      </c>
      <c r="K697" s="4">
        <f t="shared" si="52"/>
        <v>24</v>
      </c>
      <c r="L697" t="str">
        <f t="shared" si="53"/>
        <v>Mar</v>
      </c>
      <c r="M697">
        <f t="shared" si="54"/>
        <v>2024</v>
      </c>
      <c r="N697">
        <f t="shared" si="55"/>
        <v>53</v>
      </c>
    </row>
    <row r="698" spans="1:14" x14ac:dyDescent="0.3">
      <c r="A698" t="s">
        <v>1529</v>
      </c>
      <c r="B698" t="s">
        <v>1530</v>
      </c>
      <c r="C698" s="1">
        <v>14664</v>
      </c>
      <c r="D698" t="s">
        <v>21</v>
      </c>
      <c r="E698" t="s">
        <v>960</v>
      </c>
      <c r="F698" t="s">
        <v>84</v>
      </c>
      <c r="G698" t="s">
        <v>1018</v>
      </c>
      <c r="H698" s="1">
        <v>44438</v>
      </c>
      <c r="I698" s="1">
        <v>44439</v>
      </c>
      <c r="J698" s="3">
        <v>1924.29</v>
      </c>
      <c r="K698" s="4">
        <f xml:space="preserve"> I698-H698</f>
        <v>1</v>
      </c>
      <c r="L698" t="str">
        <f t="shared" si="53"/>
        <v>Aug</v>
      </c>
      <c r="M698">
        <f t="shared" si="54"/>
        <v>2021</v>
      </c>
      <c r="N698">
        <f t="shared" si="55"/>
        <v>81</v>
      </c>
    </row>
    <row r="699" spans="1:14" x14ac:dyDescent="0.3">
      <c r="A699" t="s">
        <v>1531</v>
      </c>
      <c r="B699" t="s">
        <v>1532</v>
      </c>
      <c r="C699" s="1">
        <v>19900</v>
      </c>
      <c r="D699" t="s">
        <v>21</v>
      </c>
      <c r="E699" t="s">
        <v>1161</v>
      </c>
      <c r="F699" t="s">
        <v>1162</v>
      </c>
      <c r="G699" t="s">
        <v>1248</v>
      </c>
      <c r="H699" s="1">
        <v>45340</v>
      </c>
      <c r="I699" s="1">
        <v>45353</v>
      </c>
      <c r="J699" s="3">
        <v>1921.61</v>
      </c>
      <c r="K699" s="4">
        <f t="shared" ref="K699:K711" si="56" xml:space="preserve"> I699-H699</f>
        <v>13</v>
      </c>
      <c r="L699" t="str">
        <f t="shared" si="53"/>
        <v>Feb</v>
      </c>
      <c r="M699">
        <f t="shared" si="54"/>
        <v>2024</v>
      </c>
      <c r="N699">
        <f t="shared" si="55"/>
        <v>69</v>
      </c>
    </row>
    <row r="700" spans="1:14" x14ac:dyDescent="0.3">
      <c r="A700" t="s">
        <v>1533</v>
      </c>
      <c r="B700" t="s">
        <v>1534</v>
      </c>
      <c r="C700" s="1">
        <v>22674</v>
      </c>
      <c r="D700" t="s">
        <v>21</v>
      </c>
      <c r="E700" t="s">
        <v>1214</v>
      </c>
      <c r="F700" t="s">
        <v>84</v>
      </c>
      <c r="G700" t="s">
        <v>1225</v>
      </c>
      <c r="H700" s="1">
        <v>45025</v>
      </c>
      <c r="I700" s="1">
        <v>45037</v>
      </c>
      <c r="J700" s="3">
        <v>1895.72</v>
      </c>
      <c r="K700" s="4">
        <f t="shared" si="56"/>
        <v>12</v>
      </c>
      <c r="L700" t="str">
        <f t="shared" si="53"/>
        <v>Apr</v>
      </c>
      <c r="M700">
        <f t="shared" si="54"/>
        <v>2023</v>
      </c>
      <c r="N700">
        <f t="shared" si="55"/>
        <v>61</v>
      </c>
    </row>
    <row r="701" spans="1:14" x14ac:dyDescent="0.3">
      <c r="A701" t="s">
        <v>1535</v>
      </c>
      <c r="B701" t="s">
        <v>1536</v>
      </c>
      <c r="C701" s="1">
        <v>12678</v>
      </c>
      <c r="D701" t="s">
        <v>15</v>
      </c>
      <c r="E701" t="s">
        <v>960</v>
      </c>
      <c r="F701" t="s">
        <v>84</v>
      </c>
      <c r="G701" t="s">
        <v>994</v>
      </c>
      <c r="H701" s="1">
        <v>44408</v>
      </c>
      <c r="I701" s="1">
        <v>44423</v>
      </c>
      <c r="J701" s="3">
        <v>1892.46</v>
      </c>
      <c r="K701" s="4">
        <f t="shared" si="56"/>
        <v>15</v>
      </c>
      <c r="L701" t="str">
        <f t="shared" si="53"/>
        <v>Jul</v>
      </c>
      <c r="M701">
        <f t="shared" si="54"/>
        <v>2021</v>
      </c>
      <c r="N701">
        <f t="shared" si="55"/>
        <v>86</v>
      </c>
    </row>
    <row r="702" spans="1:14" x14ac:dyDescent="0.3">
      <c r="A702" t="s">
        <v>1537</v>
      </c>
      <c r="B702" t="s">
        <v>1538</v>
      </c>
      <c r="C702" s="1">
        <v>29214</v>
      </c>
      <c r="D702" t="s">
        <v>15</v>
      </c>
      <c r="E702" t="s">
        <v>2144</v>
      </c>
      <c r="F702" t="s">
        <v>1168</v>
      </c>
      <c r="G702" t="s">
        <v>1332</v>
      </c>
      <c r="H702" s="1">
        <v>44605</v>
      </c>
      <c r="I702" s="1">
        <v>44623</v>
      </c>
      <c r="J702" s="3">
        <v>1889</v>
      </c>
      <c r="K702" s="4">
        <f t="shared" si="56"/>
        <v>18</v>
      </c>
      <c r="L702" t="str">
        <f t="shared" si="53"/>
        <v>Feb</v>
      </c>
      <c r="M702">
        <f t="shared" si="54"/>
        <v>2022</v>
      </c>
      <c r="N702">
        <f t="shared" si="55"/>
        <v>42</v>
      </c>
    </row>
    <row r="703" spans="1:14" x14ac:dyDescent="0.3">
      <c r="A703" t="s">
        <v>1539</v>
      </c>
      <c r="B703" t="s">
        <v>550</v>
      </c>
      <c r="C703" s="1">
        <v>27866</v>
      </c>
      <c r="D703" t="s">
        <v>21</v>
      </c>
      <c r="E703" t="s">
        <v>960</v>
      </c>
      <c r="F703" t="s">
        <v>985</v>
      </c>
      <c r="G703" t="s">
        <v>1018</v>
      </c>
      <c r="H703" s="1">
        <v>45371</v>
      </c>
      <c r="I703" s="1">
        <v>45383</v>
      </c>
      <c r="J703" s="3">
        <v>1887.36</v>
      </c>
      <c r="K703" s="4">
        <f t="shared" si="56"/>
        <v>12</v>
      </c>
      <c r="L703" t="str">
        <f t="shared" si="53"/>
        <v>Mar</v>
      </c>
      <c r="M703">
        <f t="shared" si="54"/>
        <v>2024</v>
      </c>
      <c r="N703">
        <f t="shared" si="55"/>
        <v>47</v>
      </c>
    </row>
    <row r="704" spans="1:14" x14ac:dyDescent="0.3">
      <c r="A704" t="s">
        <v>1540</v>
      </c>
      <c r="B704" t="s">
        <v>1541</v>
      </c>
      <c r="C704" s="1">
        <v>15177</v>
      </c>
      <c r="D704" t="s">
        <v>21</v>
      </c>
      <c r="E704" t="s">
        <v>1171</v>
      </c>
      <c r="F704" t="s">
        <v>295</v>
      </c>
      <c r="G704" t="s">
        <v>1184</v>
      </c>
      <c r="H704" s="1">
        <v>45208</v>
      </c>
      <c r="I704" s="1">
        <v>45237</v>
      </c>
      <c r="J704" s="3">
        <v>1885.12</v>
      </c>
      <c r="K704" s="4">
        <f t="shared" si="56"/>
        <v>29</v>
      </c>
      <c r="L704" t="str">
        <f t="shared" si="53"/>
        <v>Oct</v>
      </c>
      <c r="M704">
        <f t="shared" si="54"/>
        <v>2023</v>
      </c>
      <c r="N704">
        <f t="shared" si="55"/>
        <v>82</v>
      </c>
    </row>
    <row r="705" spans="1:14" x14ac:dyDescent="0.3">
      <c r="A705" t="s">
        <v>1542</v>
      </c>
      <c r="B705" t="s">
        <v>1196</v>
      </c>
      <c r="C705" s="1">
        <v>42737</v>
      </c>
      <c r="D705" t="s">
        <v>15</v>
      </c>
      <c r="E705" t="s">
        <v>1171</v>
      </c>
      <c r="F705" t="s">
        <v>1128</v>
      </c>
      <c r="G705" t="s">
        <v>1179</v>
      </c>
      <c r="H705" s="1">
        <v>44492</v>
      </c>
      <c r="I705" s="1">
        <v>44506</v>
      </c>
      <c r="J705" s="3">
        <v>1875.02</v>
      </c>
      <c r="K705" s="4">
        <f t="shared" si="56"/>
        <v>14</v>
      </c>
      <c r="L705" t="str">
        <f t="shared" si="53"/>
        <v>Oct</v>
      </c>
      <c r="M705">
        <f t="shared" si="54"/>
        <v>2021</v>
      </c>
      <c r="N705">
        <f t="shared" si="55"/>
        <v>4</v>
      </c>
    </row>
    <row r="706" spans="1:14" x14ac:dyDescent="0.3">
      <c r="A706" t="s">
        <v>1543</v>
      </c>
      <c r="B706" t="s">
        <v>1544</v>
      </c>
      <c r="C706" s="1">
        <v>11232</v>
      </c>
      <c r="D706" t="s">
        <v>15</v>
      </c>
      <c r="E706" t="s">
        <v>1127</v>
      </c>
      <c r="F706" t="s">
        <v>1128</v>
      </c>
      <c r="G706" t="s">
        <v>1276</v>
      </c>
      <c r="H706" s="1">
        <v>45104</v>
      </c>
      <c r="I706" s="1">
        <v>45116</v>
      </c>
      <c r="J706" s="3">
        <v>1859.36</v>
      </c>
      <c r="K706" s="4">
        <f t="shared" si="56"/>
        <v>12</v>
      </c>
      <c r="L706" t="str">
        <f t="shared" si="53"/>
        <v>Jun</v>
      </c>
      <c r="M706">
        <f t="shared" si="54"/>
        <v>2023</v>
      </c>
      <c r="N706">
        <f t="shared" si="55"/>
        <v>92</v>
      </c>
    </row>
    <row r="707" spans="1:14" x14ac:dyDescent="0.3">
      <c r="A707" t="s">
        <v>1545</v>
      </c>
      <c r="B707" t="s">
        <v>1546</v>
      </c>
      <c r="C707" s="1">
        <v>30448</v>
      </c>
      <c r="D707" t="s">
        <v>15</v>
      </c>
      <c r="E707" t="s">
        <v>1132</v>
      </c>
      <c r="F707" t="s">
        <v>1187</v>
      </c>
      <c r="G707" t="s">
        <v>1184</v>
      </c>
      <c r="H707" s="1">
        <v>44723</v>
      </c>
      <c r="I707" s="1">
        <v>44753</v>
      </c>
      <c r="J707" s="3">
        <v>1841.93</v>
      </c>
      <c r="K707" s="4">
        <f t="shared" si="56"/>
        <v>30</v>
      </c>
      <c r="L707" t="str">
        <f t="shared" si="53"/>
        <v>Jun</v>
      </c>
      <c r="M707">
        <f t="shared" si="54"/>
        <v>2022</v>
      </c>
      <c r="N707">
        <f t="shared" si="55"/>
        <v>39</v>
      </c>
    </row>
    <row r="708" spans="1:14" x14ac:dyDescent="0.3">
      <c r="A708" t="s">
        <v>1547</v>
      </c>
      <c r="B708" t="s">
        <v>1548</v>
      </c>
      <c r="C708" s="1">
        <v>14760</v>
      </c>
      <c r="D708" t="s">
        <v>21</v>
      </c>
      <c r="E708" t="s">
        <v>1161</v>
      </c>
      <c r="F708" t="s">
        <v>683</v>
      </c>
      <c r="G708" t="s">
        <v>1163</v>
      </c>
      <c r="H708" s="1">
        <v>44510</v>
      </c>
      <c r="I708" s="1">
        <v>44529</v>
      </c>
      <c r="J708" s="3">
        <v>1835.77</v>
      </c>
      <c r="K708" s="4">
        <f t="shared" si="56"/>
        <v>19</v>
      </c>
      <c r="L708" t="str">
        <f t="shared" si="53"/>
        <v>Nov</v>
      </c>
      <c r="M708">
        <f t="shared" si="54"/>
        <v>2021</v>
      </c>
      <c r="N708">
        <f t="shared" si="55"/>
        <v>81</v>
      </c>
    </row>
    <row r="709" spans="1:14" x14ac:dyDescent="0.3">
      <c r="A709" t="s">
        <v>1549</v>
      </c>
      <c r="B709" t="s">
        <v>1550</v>
      </c>
      <c r="C709" s="1">
        <v>15603</v>
      </c>
      <c r="D709" t="s">
        <v>15</v>
      </c>
      <c r="E709" t="s">
        <v>1171</v>
      </c>
      <c r="F709" t="s">
        <v>295</v>
      </c>
      <c r="G709" t="s">
        <v>1179</v>
      </c>
      <c r="H709" s="1">
        <v>44967</v>
      </c>
      <c r="I709" s="1">
        <v>44971</v>
      </c>
      <c r="J709" s="3">
        <v>1834.53</v>
      </c>
      <c r="K709" s="4">
        <f t="shared" si="56"/>
        <v>4</v>
      </c>
      <c r="L709" t="str">
        <f t="shared" si="53"/>
        <v>Feb</v>
      </c>
      <c r="M709">
        <f t="shared" si="54"/>
        <v>2023</v>
      </c>
      <c r="N709">
        <f t="shared" si="55"/>
        <v>80</v>
      </c>
    </row>
    <row r="710" spans="1:14" x14ac:dyDescent="0.3">
      <c r="A710" t="s">
        <v>1551</v>
      </c>
      <c r="B710" t="s">
        <v>1552</v>
      </c>
      <c r="C710" s="1">
        <v>8753</v>
      </c>
      <c r="D710" t="s">
        <v>15</v>
      </c>
      <c r="E710" t="s">
        <v>2144</v>
      </c>
      <c r="F710" t="s">
        <v>295</v>
      </c>
      <c r="G710" t="s">
        <v>1228</v>
      </c>
      <c r="H710" s="1">
        <v>45136</v>
      </c>
      <c r="I710" s="1">
        <v>45143</v>
      </c>
      <c r="J710" s="3">
        <v>1819.36</v>
      </c>
      <c r="K710" s="4">
        <f t="shared" si="56"/>
        <v>7</v>
      </c>
      <c r="L710" t="str">
        <f t="shared" si="53"/>
        <v>Jul</v>
      </c>
      <c r="M710">
        <f t="shared" si="54"/>
        <v>2023</v>
      </c>
      <c r="N710">
        <f t="shared" si="55"/>
        <v>99</v>
      </c>
    </row>
    <row r="711" spans="1:14" x14ac:dyDescent="0.3">
      <c r="A711" t="s">
        <v>1553</v>
      </c>
      <c r="B711" t="s">
        <v>1554</v>
      </c>
      <c r="C711" s="1">
        <v>23511</v>
      </c>
      <c r="D711" t="s">
        <v>21</v>
      </c>
      <c r="E711" t="s">
        <v>1161</v>
      </c>
      <c r="F711" t="s">
        <v>683</v>
      </c>
      <c r="G711" t="s">
        <v>1248</v>
      </c>
      <c r="H711" s="1">
        <v>44787</v>
      </c>
      <c r="I711" s="1">
        <v>44798</v>
      </c>
      <c r="J711" s="3">
        <v>1809.68</v>
      </c>
      <c r="K711" s="4">
        <f t="shared" si="56"/>
        <v>11</v>
      </c>
      <c r="L711" t="str">
        <f t="shared" si="53"/>
        <v>Aug</v>
      </c>
      <c r="M711">
        <f t="shared" si="54"/>
        <v>2022</v>
      </c>
      <c r="N711">
        <f t="shared" si="55"/>
        <v>58</v>
      </c>
    </row>
    <row r="712" spans="1:14" x14ac:dyDescent="0.3">
      <c r="A712" t="s">
        <v>1555</v>
      </c>
      <c r="B712" t="s">
        <v>1556</v>
      </c>
      <c r="C712" s="1">
        <v>31127</v>
      </c>
      <c r="D712" t="s">
        <v>15</v>
      </c>
      <c r="E712" t="s">
        <v>922</v>
      </c>
      <c r="F712" t="s">
        <v>84</v>
      </c>
      <c r="G712" t="s">
        <v>933</v>
      </c>
      <c r="H712" s="1">
        <v>44800</v>
      </c>
      <c r="I712" s="1">
        <v>44819</v>
      </c>
      <c r="J712" s="3">
        <v>1797.53</v>
      </c>
      <c r="K712" s="4">
        <f xml:space="preserve"> I712-H712</f>
        <v>19</v>
      </c>
      <c r="L712" t="str">
        <f t="shared" si="53"/>
        <v>Aug</v>
      </c>
      <c r="M712">
        <f t="shared" si="54"/>
        <v>2022</v>
      </c>
      <c r="N712">
        <f t="shared" si="55"/>
        <v>37</v>
      </c>
    </row>
    <row r="713" spans="1:14" x14ac:dyDescent="0.3">
      <c r="A713" t="s">
        <v>1557</v>
      </c>
      <c r="B713" t="s">
        <v>1558</v>
      </c>
      <c r="C713" s="1">
        <v>42850</v>
      </c>
      <c r="D713" t="s">
        <v>15</v>
      </c>
      <c r="E713" t="s">
        <v>1171</v>
      </c>
      <c r="F713" t="s">
        <v>295</v>
      </c>
      <c r="G713" t="s">
        <v>1179</v>
      </c>
      <c r="H713" s="1">
        <v>45042</v>
      </c>
      <c r="I713" s="1">
        <v>45044</v>
      </c>
      <c r="J713" s="3">
        <v>1795.18</v>
      </c>
      <c r="K713" s="4">
        <f t="shared" ref="K713:K775" si="57" xml:space="preserve"> I713-H713</f>
        <v>2</v>
      </c>
      <c r="L713" t="str">
        <f t="shared" si="53"/>
        <v>Apr</v>
      </c>
      <c r="M713">
        <f t="shared" si="54"/>
        <v>2023</v>
      </c>
      <c r="N713">
        <f t="shared" si="55"/>
        <v>6</v>
      </c>
    </row>
    <row r="714" spans="1:14" x14ac:dyDescent="0.3">
      <c r="A714" t="s">
        <v>1559</v>
      </c>
      <c r="B714" t="s">
        <v>1560</v>
      </c>
      <c r="C714" s="1">
        <v>31305</v>
      </c>
      <c r="D714" t="s">
        <v>15</v>
      </c>
      <c r="E714" t="s">
        <v>2144</v>
      </c>
      <c r="F714" t="s">
        <v>295</v>
      </c>
      <c r="G714" t="s">
        <v>1332</v>
      </c>
      <c r="H714" s="1">
        <v>44695</v>
      </c>
      <c r="I714" s="1">
        <v>44714</v>
      </c>
      <c r="J714" s="3">
        <v>1792.52</v>
      </c>
      <c r="K714" s="4">
        <f t="shared" si="57"/>
        <v>19</v>
      </c>
      <c r="L714" t="str">
        <f t="shared" si="53"/>
        <v>May</v>
      </c>
      <c r="M714">
        <f t="shared" si="54"/>
        <v>2022</v>
      </c>
      <c r="N714">
        <f t="shared" si="55"/>
        <v>36</v>
      </c>
    </row>
    <row r="715" spans="1:14" x14ac:dyDescent="0.3">
      <c r="A715" t="s">
        <v>1561</v>
      </c>
      <c r="B715" t="s">
        <v>1562</v>
      </c>
      <c r="C715" s="1">
        <v>32236</v>
      </c>
      <c r="D715" t="s">
        <v>21</v>
      </c>
      <c r="E715" t="s">
        <v>1171</v>
      </c>
      <c r="F715" t="s">
        <v>1128</v>
      </c>
      <c r="G715" t="s">
        <v>1179</v>
      </c>
      <c r="H715" s="1">
        <v>45187</v>
      </c>
      <c r="I715" s="1">
        <v>45192</v>
      </c>
      <c r="J715" s="3">
        <v>1787.53</v>
      </c>
      <c r="K715" s="4">
        <f t="shared" si="57"/>
        <v>5</v>
      </c>
      <c r="L715" t="str">
        <f t="shared" si="53"/>
        <v>Sep</v>
      </c>
      <c r="M715">
        <f t="shared" si="54"/>
        <v>2023</v>
      </c>
      <c r="N715">
        <f t="shared" si="55"/>
        <v>35</v>
      </c>
    </row>
    <row r="716" spans="1:14" x14ac:dyDescent="0.3">
      <c r="A716" t="s">
        <v>1563</v>
      </c>
      <c r="B716" t="s">
        <v>1564</v>
      </c>
      <c r="C716" s="1">
        <v>36116</v>
      </c>
      <c r="D716" t="s">
        <v>15</v>
      </c>
      <c r="E716" t="s">
        <v>1127</v>
      </c>
      <c r="F716" t="s">
        <v>91</v>
      </c>
      <c r="G716" t="s">
        <v>1129</v>
      </c>
      <c r="H716" s="1">
        <v>44970</v>
      </c>
      <c r="I716" s="1">
        <v>44988</v>
      </c>
      <c r="J716" s="3">
        <v>1782.6</v>
      </c>
      <c r="K716" s="4">
        <f t="shared" si="57"/>
        <v>18</v>
      </c>
      <c r="L716" t="str">
        <f t="shared" si="53"/>
        <v>Feb</v>
      </c>
      <c r="M716">
        <f t="shared" si="54"/>
        <v>2023</v>
      </c>
      <c r="N716">
        <f t="shared" si="55"/>
        <v>24</v>
      </c>
    </row>
    <row r="717" spans="1:14" x14ac:dyDescent="0.3">
      <c r="A717" t="s">
        <v>1565</v>
      </c>
      <c r="B717" t="s">
        <v>1566</v>
      </c>
      <c r="C717" s="1">
        <v>32108</v>
      </c>
      <c r="D717" t="s">
        <v>15</v>
      </c>
      <c r="E717" t="s">
        <v>2144</v>
      </c>
      <c r="F717" t="s">
        <v>1168</v>
      </c>
      <c r="G717" t="s">
        <v>1149</v>
      </c>
      <c r="H717" s="1">
        <v>44391</v>
      </c>
      <c r="I717" s="1">
        <v>44414</v>
      </c>
      <c r="J717" s="3">
        <v>1765.14</v>
      </c>
      <c r="K717" s="4">
        <f t="shared" si="57"/>
        <v>23</v>
      </c>
      <c r="L717" t="str">
        <f t="shared" si="53"/>
        <v>Jul</v>
      </c>
      <c r="M717">
        <f t="shared" si="54"/>
        <v>2021</v>
      </c>
      <c r="N717">
        <f t="shared" si="55"/>
        <v>33</v>
      </c>
    </row>
    <row r="718" spans="1:14" x14ac:dyDescent="0.3">
      <c r="A718" t="s">
        <v>1567</v>
      </c>
      <c r="B718" t="s">
        <v>1568</v>
      </c>
      <c r="C718" s="1">
        <v>37271</v>
      </c>
      <c r="D718" t="s">
        <v>21</v>
      </c>
      <c r="E718" t="s">
        <v>1132</v>
      </c>
      <c r="F718" t="s">
        <v>1187</v>
      </c>
      <c r="G718" t="s">
        <v>1184</v>
      </c>
      <c r="H718" s="1">
        <v>45375</v>
      </c>
      <c r="I718" s="1">
        <v>45377</v>
      </c>
      <c r="J718" s="3">
        <v>1742.78</v>
      </c>
      <c r="K718" s="4">
        <f t="shared" si="57"/>
        <v>2</v>
      </c>
      <c r="L718" t="str">
        <f t="shared" si="53"/>
        <v>Mar</v>
      </c>
      <c r="M718">
        <f t="shared" si="54"/>
        <v>2024</v>
      </c>
      <c r="N718">
        <f t="shared" si="55"/>
        <v>22</v>
      </c>
    </row>
    <row r="719" spans="1:14" x14ac:dyDescent="0.3">
      <c r="A719" t="s">
        <v>1569</v>
      </c>
      <c r="B719" t="s">
        <v>1570</v>
      </c>
      <c r="C719" s="1">
        <v>18815</v>
      </c>
      <c r="D719" t="s">
        <v>15</v>
      </c>
      <c r="E719" t="s">
        <v>952</v>
      </c>
      <c r="F719" t="s">
        <v>968</v>
      </c>
      <c r="G719" t="s">
        <v>957</v>
      </c>
      <c r="H719" s="1">
        <v>44826</v>
      </c>
      <c r="I719" s="1">
        <v>44846</v>
      </c>
      <c r="J719" s="3">
        <v>1739.14</v>
      </c>
      <c r="K719" s="4">
        <f t="shared" si="57"/>
        <v>20</v>
      </c>
      <c r="L719" t="str">
        <f t="shared" si="53"/>
        <v>Sep</v>
      </c>
      <c r="M719">
        <f t="shared" si="54"/>
        <v>2022</v>
      </c>
      <c r="N719">
        <f t="shared" si="55"/>
        <v>71</v>
      </c>
    </row>
    <row r="720" spans="1:14" x14ac:dyDescent="0.3">
      <c r="A720" t="s">
        <v>1571</v>
      </c>
      <c r="B720" t="s">
        <v>1572</v>
      </c>
      <c r="C720" s="1">
        <v>33180</v>
      </c>
      <c r="D720" t="s">
        <v>15</v>
      </c>
      <c r="E720" t="s">
        <v>1127</v>
      </c>
      <c r="F720" t="s">
        <v>91</v>
      </c>
      <c r="G720" t="s">
        <v>1154</v>
      </c>
      <c r="H720" s="1">
        <v>44532</v>
      </c>
      <c r="I720" s="1">
        <v>44558</v>
      </c>
      <c r="J720" s="3">
        <v>1725.45</v>
      </c>
      <c r="K720" s="4">
        <f t="shared" si="57"/>
        <v>26</v>
      </c>
      <c r="L720" t="str">
        <f t="shared" si="53"/>
        <v>Dec</v>
      </c>
      <c r="M720">
        <f t="shared" si="54"/>
        <v>2021</v>
      </c>
      <c r="N720">
        <f t="shared" si="55"/>
        <v>31</v>
      </c>
    </row>
    <row r="721" spans="1:14" x14ac:dyDescent="0.3">
      <c r="A721" t="s">
        <v>1573</v>
      </c>
      <c r="B721" t="s">
        <v>1574</v>
      </c>
      <c r="C721" s="1">
        <v>34742</v>
      </c>
      <c r="D721" t="s">
        <v>15</v>
      </c>
      <c r="E721" t="s">
        <v>1161</v>
      </c>
      <c r="F721" t="s">
        <v>1162</v>
      </c>
      <c r="G721" t="s">
        <v>1248</v>
      </c>
      <c r="H721" s="1">
        <v>44429</v>
      </c>
      <c r="I721" s="1">
        <v>44454</v>
      </c>
      <c r="J721" s="3">
        <v>1719.63</v>
      </c>
      <c r="K721" s="4">
        <f t="shared" si="57"/>
        <v>25</v>
      </c>
      <c r="L721" t="str">
        <f t="shared" si="53"/>
        <v>Aug</v>
      </c>
      <c r="M721">
        <f t="shared" si="54"/>
        <v>2021</v>
      </c>
      <c r="N721">
        <f t="shared" si="55"/>
        <v>26</v>
      </c>
    </row>
    <row r="722" spans="1:14" x14ac:dyDescent="0.3">
      <c r="A722" t="s">
        <v>1575</v>
      </c>
      <c r="B722" t="s">
        <v>1576</v>
      </c>
      <c r="C722" s="1">
        <v>8661</v>
      </c>
      <c r="D722" t="s">
        <v>21</v>
      </c>
      <c r="E722" t="s">
        <v>1171</v>
      </c>
      <c r="F722" t="s">
        <v>295</v>
      </c>
      <c r="G722" t="s">
        <v>1184</v>
      </c>
      <c r="H722" s="1">
        <v>44735</v>
      </c>
      <c r="I722" s="1">
        <v>44758</v>
      </c>
      <c r="J722" s="3">
        <v>1707.7</v>
      </c>
      <c r="K722" s="4">
        <f t="shared" si="57"/>
        <v>23</v>
      </c>
      <c r="L722" t="str">
        <f t="shared" si="53"/>
        <v>Jun</v>
      </c>
      <c r="M722">
        <f t="shared" si="54"/>
        <v>2022</v>
      </c>
      <c r="N722">
        <f t="shared" si="55"/>
        <v>98</v>
      </c>
    </row>
    <row r="723" spans="1:14" x14ac:dyDescent="0.3">
      <c r="A723" t="s">
        <v>1577</v>
      </c>
      <c r="B723" t="s">
        <v>1578</v>
      </c>
      <c r="C723" s="1">
        <v>38491</v>
      </c>
      <c r="D723" t="s">
        <v>15</v>
      </c>
      <c r="E723" t="s">
        <v>1127</v>
      </c>
      <c r="F723" t="s">
        <v>1168</v>
      </c>
      <c r="G723" t="s">
        <v>1276</v>
      </c>
      <c r="H723" s="1">
        <v>45182</v>
      </c>
      <c r="I723" s="1">
        <v>45188</v>
      </c>
      <c r="J723" s="3">
        <v>1697.66</v>
      </c>
      <c r="K723" s="4">
        <f t="shared" si="57"/>
        <v>6</v>
      </c>
      <c r="L723" t="str">
        <f t="shared" si="53"/>
        <v>Sep</v>
      </c>
      <c r="M723">
        <f t="shared" si="54"/>
        <v>2023</v>
      </c>
      <c r="N723">
        <f t="shared" si="55"/>
        <v>18</v>
      </c>
    </row>
    <row r="724" spans="1:14" x14ac:dyDescent="0.3">
      <c r="A724" t="s">
        <v>1579</v>
      </c>
      <c r="B724" t="s">
        <v>1580</v>
      </c>
      <c r="C724" s="1">
        <v>32602</v>
      </c>
      <c r="D724" t="s">
        <v>21</v>
      </c>
      <c r="E724" t="s">
        <v>960</v>
      </c>
      <c r="F724" t="s">
        <v>84</v>
      </c>
      <c r="G724" t="s">
        <v>994</v>
      </c>
      <c r="H724" s="1">
        <v>45441</v>
      </c>
      <c r="I724" s="1">
        <v>45442</v>
      </c>
      <c r="J724" s="3">
        <v>1694.78</v>
      </c>
      <c r="K724" s="4">
        <f t="shared" si="57"/>
        <v>1</v>
      </c>
      <c r="L724" t="str">
        <f t="shared" si="53"/>
        <v>May</v>
      </c>
      <c r="M724">
        <f t="shared" si="54"/>
        <v>2024</v>
      </c>
      <c r="N724">
        <f t="shared" si="55"/>
        <v>35</v>
      </c>
    </row>
    <row r="725" spans="1:14" x14ac:dyDescent="0.3">
      <c r="A725" t="s">
        <v>1581</v>
      </c>
      <c r="B725" t="s">
        <v>1582</v>
      </c>
      <c r="C725" s="1">
        <v>23422</v>
      </c>
      <c r="D725" t="s">
        <v>21</v>
      </c>
      <c r="E725" t="s">
        <v>1214</v>
      </c>
      <c r="F725" t="s">
        <v>84</v>
      </c>
      <c r="G725" t="s">
        <v>1225</v>
      </c>
      <c r="H725" s="1">
        <v>45315</v>
      </c>
      <c r="I725" s="1">
        <v>45333</v>
      </c>
      <c r="J725" s="3">
        <v>1680.06</v>
      </c>
      <c r="K725" s="4">
        <f t="shared" si="57"/>
        <v>18</v>
      </c>
      <c r="L725" t="str">
        <f t="shared" si="53"/>
        <v>Jan</v>
      </c>
      <c r="M725">
        <f t="shared" si="54"/>
        <v>2024</v>
      </c>
      <c r="N725">
        <f t="shared" si="55"/>
        <v>59</v>
      </c>
    </row>
    <row r="726" spans="1:14" x14ac:dyDescent="0.3">
      <c r="A726" t="s">
        <v>1583</v>
      </c>
      <c r="B726" t="s">
        <v>1584</v>
      </c>
      <c r="C726" s="1">
        <v>43681</v>
      </c>
      <c r="D726" t="s">
        <v>21</v>
      </c>
      <c r="E726" t="s">
        <v>1127</v>
      </c>
      <c r="F726" t="s">
        <v>1128</v>
      </c>
      <c r="G726" t="s">
        <v>1154</v>
      </c>
      <c r="H726" s="1">
        <v>44845</v>
      </c>
      <c r="I726" s="1">
        <v>44867</v>
      </c>
      <c r="J726" s="3">
        <v>1675.47</v>
      </c>
      <c r="K726" s="4">
        <f t="shared" si="57"/>
        <v>22</v>
      </c>
      <c r="L726" t="str">
        <f t="shared" si="53"/>
        <v>Oct</v>
      </c>
      <c r="M726">
        <f t="shared" si="54"/>
        <v>2022</v>
      </c>
      <c r="N726">
        <f t="shared" si="55"/>
        <v>3</v>
      </c>
    </row>
    <row r="727" spans="1:14" x14ac:dyDescent="0.3">
      <c r="A727" t="s">
        <v>1585</v>
      </c>
      <c r="B727" t="s">
        <v>1586</v>
      </c>
      <c r="C727" s="1">
        <v>14995</v>
      </c>
      <c r="D727" t="s">
        <v>21</v>
      </c>
      <c r="E727" t="s">
        <v>952</v>
      </c>
      <c r="F727" t="s">
        <v>953</v>
      </c>
      <c r="G727" t="s">
        <v>954</v>
      </c>
      <c r="H727" s="1">
        <v>44958</v>
      </c>
      <c r="I727" s="1">
        <v>44985</v>
      </c>
      <c r="J727" s="3">
        <v>1662.39</v>
      </c>
      <c r="K727" s="4">
        <f t="shared" si="57"/>
        <v>27</v>
      </c>
      <c r="L727" t="str">
        <f t="shared" si="53"/>
        <v>Feb</v>
      </c>
      <c r="M727">
        <f t="shared" si="54"/>
        <v>2023</v>
      </c>
      <c r="N727">
        <f t="shared" si="55"/>
        <v>82</v>
      </c>
    </row>
    <row r="728" spans="1:14" x14ac:dyDescent="0.3">
      <c r="A728" t="s">
        <v>1587</v>
      </c>
      <c r="B728" t="s">
        <v>1588</v>
      </c>
      <c r="C728" s="1">
        <v>8882</v>
      </c>
      <c r="D728" t="s">
        <v>15</v>
      </c>
      <c r="E728" t="s">
        <v>2144</v>
      </c>
      <c r="F728" t="s">
        <v>1168</v>
      </c>
      <c r="G728" t="s">
        <v>1332</v>
      </c>
      <c r="H728" s="1">
        <v>45302</v>
      </c>
      <c r="I728" s="1">
        <v>45303</v>
      </c>
      <c r="J728" s="3">
        <v>1659.98</v>
      </c>
      <c r="K728" s="4">
        <f t="shared" si="57"/>
        <v>1</v>
      </c>
      <c r="L728" t="str">
        <f t="shared" si="53"/>
        <v>Jan</v>
      </c>
      <c r="M728">
        <f t="shared" si="54"/>
        <v>2024</v>
      </c>
      <c r="N728">
        <f t="shared" si="55"/>
        <v>99</v>
      </c>
    </row>
    <row r="729" spans="1:14" x14ac:dyDescent="0.3">
      <c r="A729" t="s">
        <v>1589</v>
      </c>
      <c r="B729" t="s">
        <v>1590</v>
      </c>
      <c r="C729" s="1">
        <v>30287</v>
      </c>
      <c r="D729" t="s">
        <v>21</v>
      </c>
      <c r="E729" t="s">
        <v>1127</v>
      </c>
      <c r="F729" t="s">
        <v>1128</v>
      </c>
      <c r="G729" t="s">
        <v>1154</v>
      </c>
      <c r="H729" s="1">
        <v>44970</v>
      </c>
      <c r="I729" s="1">
        <v>44995</v>
      </c>
      <c r="J729" s="3">
        <v>1628.87</v>
      </c>
      <c r="K729" s="4">
        <f t="shared" si="57"/>
        <v>25</v>
      </c>
      <c r="L729" t="str">
        <f t="shared" si="53"/>
        <v>Feb</v>
      </c>
      <c r="M729">
        <f t="shared" si="54"/>
        <v>2023</v>
      </c>
      <c r="N729">
        <f t="shared" si="55"/>
        <v>40</v>
      </c>
    </row>
    <row r="730" spans="1:14" x14ac:dyDescent="0.3">
      <c r="A730" t="s">
        <v>1591</v>
      </c>
      <c r="B730" t="s">
        <v>1592</v>
      </c>
      <c r="C730" s="1">
        <v>41067</v>
      </c>
      <c r="D730" t="s">
        <v>15</v>
      </c>
      <c r="E730" t="s">
        <v>1161</v>
      </c>
      <c r="F730" t="s">
        <v>1162</v>
      </c>
      <c r="G730" t="s">
        <v>1163</v>
      </c>
      <c r="H730" s="1">
        <v>45269</v>
      </c>
      <c r="I730" s="1">
        <v>45295</v>
      </c>
      <c r="J730" s="3">
        <v>1626.8</v>
      </c>
      <c r="K730" s="4">
        <f t="shared" si="57"/>
        <v>26</v>
      </c>
      <c r="L730" t="str">
        <f t="shared" si="53"/>
        <v>Dec</v>
      </c>
      <c r="M730">
        <f t="shared" si="54"/>
        <v>2023</v>
      </c>
      <c r="N730">
        <f t="shared" si="55"/>
        <v>11</v>
      </c>
    </row>
    <row r="731" spans="1:14" x14ac:dyDescent="0.3">
      <c r="A731" t="s">
        <v>1593</v>
      </c>
      <c r="B731" t="s">
        <v>1594</v>
      </c>
      <c r="C731" s="1">
        <v>43753</v>
      </c>
      <c r="D731" t="s">
        <v>15</v>
      </c>
      <c r="E731" t="s">
        <v>1132</v>
      </c>
      <c r="F731" t="s">
        <v>295</v>
      </c>
      <c r="G731" t="s">
        <v>1188</v>
      </c>
      <c r="H731" s="1">
        <v>44526</v>
      </c>
      <c r="I731" s="1">
        <v>44533</v>
      </c>
      <c r="J731" s="3">
        <v>1624.42</v>
      </c>
      <c r="K731" s="4">
        <f t="shared" si="57"/>
        <v>7</v>
      </c>
      <c r="L731" t="str">
        <f t="shared" si="53"/>
        <v>Nov</v>
      </c>
      <c r="M731">
        <f t="shared" si="54"/>
        <v>2021</v>
      </c>
      <c r="N731">
        <f t="shared" si="55"/>
        <v>2</v>
      </c>
    </row>
    <row r="732" spans="1:14" x14ac:dyDescent="0.3">
      <c r="A732" t="s">
        <v>1595</v>
      </c>
      <c r="B732" t="s">
        <v>1596</v>
      </c>
      <c r="C732" s="1">
        <v>31340</v>
      </c>
      <c r="D732" t="s">
        <v>21</v>
      </c>
      <c r="E732" t="s">
        <v>1138</v>
      </c>
      <c r="F732" t="s">
        <v>1139</v>
      </c>
      <c r="G732" t="s">
        <v>1199</v>
      </c>
      <c r="H732" s="1">
        <v>44562</v>
      </c>
      <c r="I732" s="1">
        <v>44567</v>
      </c>
      <c r="J732" s="3">
        <v>1624.05</v>
      </c>
      <c r="K732" s="4">
        <f t="shared" si="57"/>
        <v>5</v>
      </c>
      <c r="L732" t="str">
        <f t="shared" si="53"/>
        <v>Jan</v>
      </c>
      <c r="M732">
        <f t="shared" si="54"/>
        <v>2022</v>
      </c>
      <c r="N732">
        <f t="shared" si="55"/>
        <v>36</v>
      </c>
    </row>
    <row r="733" spans="1:14" x14ac:dyDescent="0.3">
      <c r="A733" t="s">
        <v>1597</v>
      </c>
      <c r="B733" t="s">
        <v>1598</v>
      </c>
      <c r="C733" s="1">
        <v>13357</v>
      </c>
      <c r="D733" t="s">
        <v>21</v>
      </c>
      <c r="E733" t="s">
        <v>1147</v>
      </c>
      <c r="F733" t="s">
        <v>1339</v>
      </c>
      <c r="G733" t="s">
        <v>1149</v>
      </c>
      <c r="H733" s="1">
        <v>45164</v>
      </c>
      <c r="I733" s="1">
        <v>45181</v>
      </c>
      <c r="J733" s="3">
        <v>1623.21</v>
      </c>
      <c r="K733" s="4">
        <f t="shared" si="57"/>
        <v>17</v>
      </c>
      <c r="L733" t="str">
        <f t="shared" si="53"/>
        <v>Aug</v>
      </c>
      <c r="M733">
        <f t="shared" si="54"/>
        <v>2023</v>
      </c>
      <c r="N733">
        <f t="shared" si="55"/>
        <v>87</v>
      </c>
    </row>
    <row r="734" spans="1:14" x14ac:dyDescent="0.3">
      <c r="A734" t="s">
        <v>1599</v>
      </c>
      <c r="B734" t="s">
        <v>1600</v>
      </c>
      <c r="C734" s="1">
        <v>22918</v>
      </c>
      <c r="D734" t="s">
        <v>15</v>
      </c>
      <c r="E734" t="s">
        <v>1132</v>
      </c>
      <c r="F734" t="s">
        <v>295</v>
      </c>
      <c r="G734" t="s">
        <v>1184</v>
      </c>
      <c r="H734" s="1">
        <v>44634</v>
      </c>
      <c r="I734" s="1">
        <v>44635</v>
      </c>
      <c r="J734" s="3">
        <v>1617.87</v>
      </c>
      <c r="K734" s="4">
        <f t="shared" si="57"/>
        <v>1</v>
      </c>
      <c r="L734" t="str">
        <f t="shared" si="53"/>
        <v>Mar</v>
      </c>
      <c r="M734">
        <f t="shared" si="54"/>
        <v>2022</v>
      </c>
      <c r="N734">
        <f t="shared" si="55"/>
        <v>59</v>
      </c>
    </row>
    <row r="735" spans="1:14" x14ac:dyDescent="0.3">
      <c r="A735" t="s">
        <v>1601</v>
      </c>
      <c r="B735" t="s">
        <v>1602</v>
      </c>
      <c r="C735" s="1">
        <v>13146</v>
      </c>
      <c r="D735" t="s">
        <v>15</v>
      </c>
      <c r="E735" t="s">
        <v>952</v>
      </c>
      <c r="F735" t="s">
        <v>953</v>
      </c>
      <c r="G735" t="s">
        <v>957</v>
      </c>
      <c r="H735" s="1">
        <v>44565</v>
      </c>
      <c r="I735" s="1">
        <v>44582</v>
      </c>
      <c r="J735" s="3">
        <v>1604.15</v>
      </c>
      <c r="K735" s="4">
        <f t="shared" si="57"/>
        <v>17</v>
      </c>
      <c r="L735" t="str">
        <f t="shared" si="53"/>
        <v>Jan</v>
      </c>
      <c r="M735">
        <f t="shared" si="54"/>
        <v>2022</v>
      </c>
      <c r="N735">
        <f t="shared" si="55"/>
        <v>86</v>
      </c>
    </row>
    <row r="736" spans="1:14" x14ac:dyDescent="0.3">
      <c r="A736" t="s">
        <v>1603</v>
      </c>
      <c r="B736" t="s">
        <v>1604</v>
      </c>
      <c r="C736" s="1">
        <v>35381</v>
      </c>
      <c r="D736" t="s">
        <v>21</v>
      </c>
      <c r="E736" t="s">
        <v>922</v>
      </c>
      <c r="F736" t="s">
        <v>683</v>
      </c>
      <c r="G736" t="s">
        <v>933</v>
      </c>
      <c r="H736" s="1">
        <v>44946</v>
      </c>
      <c r="I736" s="1">
        <v>44976</v>
      </c>
      <c r="J736" s="3">
        <v>1603.71</v>
      </c>
      <c r="K736" s="4">
        <f t="shared" si="57"/>
        <v>30</v>
      </c>
      <c r="L736" t="str">
        <f t="shared" si="53"/>
        <v>Jan</v>
      </c>
      <c r="M736">
        <f t="shared" si="54"/>
        <v>2023</v>
      </c>
      <c r="N736">
        <f t="shared" si="55"/>
        <v>26</v>
      </c>
    </row>
    <row r="737" spans="1:14" x14ac:dyDescent="0.3">
      <c r="A737" t="s">
        <v>1605</v>
      </c>
      <c r="B737" t="s">
        <v>1606</v>
      </c>
      <c r="C737" s="1">
        <v>44436</v>
      </c>
      <c r="D737" t="s">
        <v>21</v>
      </c>
      <c r="E737" t="s">
        <v>960</v>
      </c>
      <c r="F737" t="s">
        <v>985</v>
      </c>
      <c r="G737" t="s">
        <v>1018</v>
      </c>
      <c r="H737" s="1">
        <v>44441</v>
      </c>
      <c r="I737" s="1">
        <v>44443</v>
      </c>
      <c r="J737" s="3">
        <v>1601.55</v>
      </c>
      <c r="K737" s="4">
        <f t="shared" si="57"/>
        <v>2</v>
      </c>
      <c r="L737" t="str">
        <f t="shared" si="53"/>
        <v>Sep</v>
      </c>
      <c r="M737">
        <f t="shared" si="54"/>
        <v>2021</v>
      </c>
      <c r="N737">
        <f t="shared" si="55"/>
        <v>0</v>
      </c>
    </row>
    <row r="738" spans="1:14" x14ac:dyDescent="0.3">
      <c r="A738" t="s">
        <v>1607</v>
      </c>
      <c r="B738" t="s">
        <v>1608</v>
      </c>
      <c r="C738" s="1">
        <v>12115</v>
      </c>
      <c r="D738" t="s">
        <v>15</v>
      </c>
      <c r="E738" t="s">
        <v>1138</v>
      </c>
      <c r="F738" t="s">
        <v>1243</v>
      </c>
      <c r="G738" t="s">
        <v>1140</v>
      </c>
      <c r="H738" s="1">
        <v>44909</v>
      </c>
      <c r="I738" s="1">
        <v>44910</v>
      </c>
      <c r="J738" s="3">
        <v>1597.25</v>
      </c>
      <c r="K738" s="4">
        <f t="shared" si="57"/>
        <v>1</v>
      </c>
      <c r="L738" t="str">
        <f t="shared" si="53"/>
        <v>Dec</v>
      </c>
      <c r="M738">
        <f t="shared" si="54"/>
        <v>2022</v>
      </c>
      <c r="N738">
        <f t="shared" si="55"/>
        <v>89</v>
      </c>
    </row>
    <row r="739" spans="1:14" x14ac:dyDescent="0.3">
      <c r="A739" t="s">
        <v>1609</v>
      </c>
      <c r="B739" t="s">
        <v>1610</v>
      </c>
      <c r="C739" s="1">
        <v>23628</v>
      </c>
      <c r="D739" t="s">
        <v>15</v>
      </c>
      <c r="E739" t="s">
        <v>1161</v>
      </c>
      <c r="F739" t="s">
        <v>683</v>
      </c>
      <c r="G739" t="s">
        <v>1163</v>
      </c>
      <c r="H739" s="1">
        <v>44723</v>
      </c>
      <c r="I739" s="1">
        <v>44728</v>
      </c>
      <c r="J739" s="3">
        <v>1595.83</v>
      </c>
      <c r="K739" s="4">
        <f t="shared" si="57"/>
        <v>5</v>
      </c>
      <c r="L739" t="str">
        <f t="shared" si="53"/>
        <v>Jun</v>
      </c>
      <c r="M739">
        <f t="shared" si="54"/>
        <v>2022</v>
      </c>
      <c r="N739">
        <f t="shared" si="55"/>
        <v>57</v>
      </c>
    </row>
    <row r="740" spans="1:14" x14ac:dyDescent="0.3">
      <c r="A740" t="s">
        <v>1611</v>
      </c>
      <c r="B740" t="s">
        <v>1612</v>
      </c>
      <c r="C740" s="1">
        <v>32260</v>
      </c>
      <c r="D740" t="s">
        <v>15</v>
      </c>
      <c r="E740" t="s">
        <v>2144</v>
      </c>
      <c r="F740" t="s">
        <v>1168</v>
      </c>
      <c r="G740" t="s">
        <v>1149</v>
      </c>
      <c r="H740" s="1">
        <v>45102</v>
      </c>
      <c r="I740" s="1">
        <v>45116</v>
      </c>
      <c r="J740" s="3">
        <v>1593.23</v>
      </c>
      <c r="K740" s="4">
        <f t="shared" si="57"/>
        <v>14</v>
      </c>
      <c r="L740" t="str">
        <f t="shared" si="53"/>
        <v>Jun</v>
      </c>
      <c r="M740">
        <f t="shared" si="54"/>
        <v>2023</v>
      </c>
      <c r="N740">
        <f t="shared" si="55"/>
        <v>35</v>
      </c>
    </row>
    <row r="741" spans="1:14" x14ac:dyDescent="0.3">
      <c r="A741" s="2" t="s">
        <v>1613</v>
      </c>
      <c r="B741" t="s">
        <v>1614</v>
      </c>
      <c r="C741" s="1">
        <v>9067</v>
      </c>
      <c r="D741" t="s">
        <v>21</v>
      </c>
      <c r="E741" t="s">
        <v>2144</v>
      </c>
      <c r="F741" t="s">
        <v>295</v>
      </c>
      <c r="G741" t="s">
        <v>1228</v>
      </c>
      <c r="H741" s="1">
        <v>44969</v>
      </c>
      <c r="I741" s="1">
        <v>44981</v>
      </c>
      <c r="J741" s="3">
        <v>1568.38</v>
      </c>
      <c r="K741" s="4">
        <f t="shared" si="57"/>
        <v>12</v>
      </c>
      <c r="L741" t="str">
        <f t="shared" si="53"/>
        <v>Feb</v>
      </c>
      <c r="M741">
        <f t="shared" si="54"/>
        <v>2023</v>
      </c>
      <c r="N741">
        <f t="shared" si="55"/>
        <v>98</v>
      </c>
    </row>
    <row r="742" spans="1:14" x14ac:dyDescent="0.3">
      <c r="A742" t="s">
        <v>1615</v>
      </c>
      <c r="B742" t="s">
        <v>1616</v>
      </c>
      <c r="C742" s="1">
        <v>43262</v>
      </c>
      <c r="D742" t="s">
        <v>21</v>
      </c>
      <c r="E742" t="s">
        <v>1161</v>
      </c>
      <c r="F742" t="s">
        <v>683</v>
      </c>
      <c r="G742" t="s">
        <v>1248</v>
      </c>
      <c r="H742" s="1">
        <v>44954</v>
      </c>
      <c r="I742" s="1">
        <v>44959</v>
      </c>
      <c r="J742" s="3">
        <v>1568.33</v>
      </c>
      <c r="K742" s="4">
        <f t="shared" si="57"/>
        <v>5</v>
      </c>
      <c r="L742" t="str">
        <f t="shared" si="53"/>
        <v>Jan</v>
      </c>
      <c r="M742">
        <f t="shared" si="54"/>
        <v>2023</v>
      </c>
      <c r="N742">
        <f t="shared" si="55"/>
        <v>4</v>
      </c>
    </row>
    <row r="743" spans="1:14" x14ac:dyDescent="0.3">
      <c r="A743" t="s">
        <v>1617</v>
      </c>
      <c r="B743" t="s">
        <v>1618</v>
      </c>
      <c r="C743" s="1">
        <v>12656</v>
      </c>
      <c r="D743" t="s">
        <v>21</v>
      </c>
      <c r="E743" t="s">
        <v>1171</v>
      </c>
      <c r="F743" t="s">
        <v>1364</v>
      </c>
      <c r="G743" t="s">
        <v>1184</v>
      </c>
      <c r="H743" s="1">
        <v>44785</v>
      </c>
      <c r="I743" s="1">
        <v>44799</v>
      </c>
      <c r="J743" s="3">
        <v>1561.71</v>
      </c>
      <c r="K743" s="4">
        <f t="shared" si="57"/>
        <v>14</v>
      </c>
      <c r="L743" t="str">
        <f t="shared" si="53"/>
        <v>Aug</v>
      </c>
      <c r="M743">
        <f t="shared" si="54"/>
        <v>2022</v>
      </c>
      <c r="N743">
        <f t="shared" si="55"/>
        <v>87</v>
      </c>
    </row>
    <row r="744" spans="1:14" x14ac:dyDescent="0.3">
      <c r="A744" t="s">
        <v>1619</v>
      </c>
      <c r="B744" t="s">
        <v>1620</v>
      </c>
      <c r="C744" s="1">
        <v>36195</v>
      </c>
      <c r="D744" t="s">
        <v>15</v>
      </c>
      <c r="E744" t="s">
        <v>1127</v>
      </c>
      <c r="F744" t="s">
        <v>91</v>
      </c>
      <c r="G744" t="s">
        <v>1129</v>
      </c>
      <c r="H744" s="1">
        <v>45141</v>
      </c>
      <c r="I744" s="1">
        <v>45153</v>
      </c>
      <c r="J744" s="3">
        <v>1559.68</v>
      </c>
      <c r="K744" s="4">
        <f t="shared" si="57"/>
        <v>12</v>
      </c>
      <c r="L744" t="str">
        <f t="shared" si="53"/>
        <v>Aug</v>
      </c>
      <c r="M744">
        <f t="shared" si="54"/>
        <v>2023</v>
      </c>
      <c r="N744">
        <f t="shared" si="55"/>
        <v>24</v>
      </c>
    </row>
    <row r="745" spans="1:14" x14ac:dyDescent="0.3">
      <c r="A745" t="s">
        <v>1621</v>
      </c>
      <c r="B745" t="s">
        <v>1622</v>
      </c>
      <c r="C745" s="1">
        <v>43602</v>
      </c>
      <c r="D745" t="s">
        <v>15</v>
      </c>
      <c r="E745" t="s">
        <v>1127</v>
      </c>
      <c r="F745" t="s">
        <v>91</v>
      </c>
      <c r="G745" t="s">
        <v>1129</v>
      </c>
      <c r="H745" s="1">
        <v>45259</v>
      </c>
      <c r="I745" s="1">
        <v>45276</v>
      </c>
      <c r="J745" s="3">
        <v>1549.45</v>
      </c>
      <c r="K745" s="4">
        <f t="shared" si="57"/>
        <v>17</v>
      </c>
      <c r="L745" t="str">
        <f t="shared" si="53"/>
        <v>Nov</v>
      </c>
      <c r="M745">
        <f t="shared" si="54"/>
        <v>2023</v>
      </c>
      <c r="N745">
        <f t="shared" si="55"/>
        <v>4</v>
      </c>
    </row>
    <row r="746" spans="1:14" x14ac:dyDescent="0.3">
      <c r="A746" t="s">
        <v>1623</v>
      </c>
      <c r="B746" t="s">
        <v>1624</v>
      </c>
      <c r="C746" s="1">
        <v>25218</v>
      </c>
      <c r="D746" t="s">
        <v>21</v>
      </c>
      <c r="E746" t="s">
        <v>1161</v>
      </c>
      <c r="F746" t="s">
        <v>683</v>
      </c>
      <c r="G746" t="s">
        <v>1163</v>
      </c>
      <c r="H746" s="1">
        <v>45031</v>
      </c>
      <c r="I746" s="1">
        <v>45036</v>
      </c>
      <c r="J746" s="3">
        <v>1510.13</v>
      </c>
      <c r="K746" s="4">
        <f t="shared" si="57"/>
        <v>5</v>
      </c>
      <c r="L746" t="str">
        <f t="shared" si="53"/>
        <v>Apr</v>
      </c>
      <c r="M746">
        <f t="shared" si="54"/>
        <v>2023</v>
      </c>
      <c r="N746">
        <f t="shared" si="55"/>
        <v>54</v>
      </c>
    </row>
    <row r="747" spans="1:14" x14ac:dyDescent="0.3">
      <c r="A747" t="s">
        <v>1625</v>
      </c>
      <c r="B747" t="s">
        <v>1626</v>
      </c>
      <c r="C747" s="1">
        <v>40010</v>
      </c>
      <c r="D747" t="s">
        <v>21</v>
      </c>
      <c r="E747" t="s">
        <v>1214</v>
      </c>
      <c r="F747" t="s">
        <v>1215</v>
      </c>
      <c r="G747" t="s">
        <v>1216</v>
      </c>
      <c r="H747" s="1">
        <v>44720</v>
      </c>
      <c r="I747" s="1">
        <v>44746</v>
      </c>
      <c r="J747" s="3">
        <v>1507.93</v>
      </c>
      <c r="K747" s="4">
        <f t="shared" si="57"/>
        <v>26</v>
      </c>
      <c r="L747" t="str">
        <f t="shared" ref="L747:L808" si="58">TEXT(H747,"mmm")</f>
        <v>Jun</v>
      </c>
      <c r="M747">
        <f t="shared" si="54"/>
        <v>2022</v>
      </c>
      <c r="N747">
        <f t="shared" si="55"/>
        <v>12</v>
      </c>
    </row>
    <row r="748" spans="1:14" x14ac:dyDescent="0.3">
      <c r="A748" t="s">
        <v>1627</v>
      </c>
      <c r="B748" t="s">
        <v>1628</v>
      </c>
      <c r="C748" s="1">
        <v>28348</v>
      </c>
      <c r="D748" t="s">
        <v>21</v>
      </c>
      <c r="E748" t="s">
        <v>1171</v>
      </c>
      <c r="F748" t="s">
        <v>1128</v>
      </c>
      <c r="G748" t="s">
        <v>1184</v>
      </c>
      <c r="H748" s="1">
        <v>44776</v>
      </c>
      <c r="I748" s="1">
        <v>44793</v>
      </c>
      <c r="J748" s="3">
        <v>1499.59</v>
      </c>
      <c r="K748" s="4">
        <f t="shared" si="57"/>
        <v>17</v>
      </c>
      <c r="L748" t="str">
        <f t="shared" si="58"/>
        <v>Aug</v>
      </c>
      <c r="M748">
        <f t="shared" si="54"/>
        <v>2022</v>
      </c>
      <c r="N748">
        <f t="shared" si="55"/>
        <v>44</v>
      </c>
    </row>
    <row r="749" spans="1:14" x14ac:dyDescent="0.3">
      <c r="A749" t="s">
        <v>1629</v>
      </c>
      <c r="B749" t="s">
        <v>1630</v>
      </c>
      <c r="C749" s="1">
        <v>10928</v>
      </c>
      <c r="D749" t="s">
        <v>21</v>
      </c>
      <c r="E749" t="s">
        <v>1147</v>
      </c>
      <c r="F749" t="s">
        <v>1128</v>
      </c>
      <c r="G749" t="s">
        <v>1149</v>
      </c>
      <c r="H749" s="1">
        <v>45175</v>
      </c>
      <c r="I749" s="1">
        <v>45203</v>
      </c>
      <c r="J749" s="3">
        <v>1497.04</v>
      </c>
      <c r="K749" s="4">
        <f t="shared" si="57"/>
        <v>28</v>
      </c>
      <c r="L749" t="str">
        <f t="shared" si="58"/>
        <v>Sep</v>
      </c>
      <c r="M749">
        <f t="shared" si="54"/>
        <v>2023</v>
      </c>
      <c r="N749">
        <f t="shared" si="55"/>
        <v>93</v>
      </c>
    </row>
    <row r="750" spans="1:14" x14ac:dyDescent="0.3">
      <c r="A750" t="s">
        <v>1631</v>
      </c>
      <c r="B750" t="s">
        <v>1632</v>
      </c>
      <c r="C750" s="1">
        <v>12916</v>
      </c>
      <c r="D750" t="s">
        <v>21</v>
      </c>
      <c r="E750" t="s">
        <v>1214</v>
      </c>
      <c r="F750" t="s">
        <v>1215</v>
      </c>
      <c r="G750" t="s">
        <v>1225</v>
      </c>
      <c r="H750" s="1">
        <v>45128</v>
      </c>
      <c r="I750" s="1">
        <v>45129</v>
      </c>
      <c r="J750" s="3">
        <v>1487.96</v>
      </c>
      <c r="K750" s="4">
        <f t="shared" si="57"/>
        <v>1</v>
      </c>
      <c r="L750" t="str">
        <f t="shared" si="58"/>
        <v>Jul</v>
      </c>
      <c r="M750">
        <f t="shared" si="54"/>
        <v>2023</v>
      </c>
      <c r="N750">
        <f t="shared" si="55"/>
        <v>88</v>
      </c>
    </row>
    <row r="751" spans="1:14" x14ac:dyDescent="0.3">
      <c r="A751" t="s">
        <v>1633</v>
      </c>
      <c r="B751" t="s">
        <v>1634</v>
      </c>
      <c r="C751" s="1">
        <v>39160</v>
      </c>
      <c r="D751" t="s">
        <v>15</v>
      </c>
      <c r="E751" t="s">
        <v>2144</v>
      </c>
      <c r="F751" t="s">
        <v>1168</v>
      </c>
      <c r="G751" t="s">
        <v>1332</v>
      </c>
      <c r="H751" s="1">
        <v>44545</v>
      </c>
      <c r="I751" s="1">
        <v>44559</v>
      </c>
      <c r="J751" s="3">
        <v>1450.62</v>
      </c>
      <c r="K751" s="4">
        <f t="shared" si="57"/>
        <v>14</v>
      </c>
      <c r="L751" t="str">
        <f t="shared" si="58"/>
        <v>Dec</v>
      </c>
      <c r="M751">
        <f t="shared" si="54"/>
        <v>2021</v>
      </c>
      <c r="N751">
        <f t="shared" si="55"/>
        <v>14</v>
      </c>
    </row>
    <row r="752" spans="1:14" x14ac:dyDescent="0.3">
      <c r="A752" t="s">
        <v>1635</v>
      </c>
      <c r="B752" t="s">
        <v>1636</v>
      </c>
      <c r="C752" s="1">
        <v>14880</v>
      </c>
      <c r="D752" t="s">
        <v>21</v>
      </c>
      <c r="E752" t="s">
        <v>1161</v>
      </c>
      <c r="F752" t="s">
        <v>683</v>
      </c>
      <c r="G752" t="s">
        <v>1248</v>
      </c>
      <c r="H752" s="1">
        <v>44708</v>
      </c>
      <c r="I752" s="1">
        <v>44717</v>
      </c>
      <c r="J752" s="3">
        <v>1444.81</v>
      </c>
      <c r="K752" s="4">
        <f t="shared" si="57"/>
        <v>9</v>
      </c>
      <c r="L752" t="str">
        <f t="shared" si="58"/>
        <v>May</v>
      </c>
      <c r="M752">
        <f t="shared" si="54"/>
        <v>2022</v>
      </c>
      <c r="N752">
        <f t="shared" si="55"/>
        <v>81</v>
      </c>
    </row>
    <row r="753" spans="1:14" x14ac:dyDescent="0.3">
      <c r="A753" t="s">
        <v>1637</v>
      </c>
      <c r="B753" t="s">
        <v>1638</v>
      </c>
      <c r="C753" s="1">
        <v>38101</v>
      </c>
      <c r="D753" t="s">
        <v>21</v>
      </c>
      <c r="E753" t="s">
        <v>952</v>
      </c>
      <c r="F753" t="s">
        <v>953</v>
      </c>
      <c r="G753" t="s">
        <v>954</v>
      </c>
      <c r="H753" s="1">
        <v>45271</v>
      </c>
      <c r="I753" s="1">
        <v>45290</v>
      </c>
      <c r="J753" s="3">
        <v>1442.51</v>
      </c>
      <c r="K753" s="4">
        <f t="shared" si="57"/>
        <v>19</v>
      </c>
      <c r="L753" t="str">
        <f t="shared" si="58"/>
        <v>Dec</v>
      </c>
      <c r="M753">
        <f t="shared" si="54"/>
        <v>2023</v>
      </c>
      <c r="N753">
        <f t="shared" si="55"/>
        <v>19</v>
      </c>
    </row>
    <row r="754" spans="1:14" x14ac:dyDescent="0.3">
      <c r="A754" t="s">
        <v>1639</v>
      </c>
      <c r="B754" t="s">
        <v>1640</v>
      </c>
      <c r="C754" s="1">
        <v>35682</v>
      </c>
      <c r="D754" t="s">
        <v>15</v>
      </c>
      <c r="E754" t="s">
        <v>1161</v>
      </c>
      <c r="F754" t="s">
        <v>1162</v>
      </c>
      <c r="G754" t="s">
        <v>1163</v>
      </c>
      <c r="H754" s="1">
        <v>44983</v>
      </c>
      <c r="I754" s="1">
        <v>44993</v>
      </c>
      <c r="J754" s="3">
        <v>1442.3</v>
      </c>
      <c r="K754" s="4">
        <f t="shared" si="57"/>
        <v>10</v>
      </c>
      <c r="L754" t="str">
        <f t="shared" si="58"/>
        <v>Feb</v>
      </c>
      <c r="M754">
        <f t="shared" si="54"/>
        <v>2023</v>
      </c>
      <c r="N754">
        <f t="shared" si="55"/>
        <v>25</v>
      </c>
    </row>
    <row r="755" spans="1:14" x14ac:dyDescent="0.3">
      <c r="A755" t="s">
        <v>1641</v>
      </c>
      <c r="B755" t="s">
        <v>1642</v>
      </c>
      <c r="C755" s="1">
        <v>36390</v>
      </c>
      <c r="D755" t="s">
        <v>15</v>
      </c>
      <c r="E755" t="s">
        <v>1161</v>
      </c>
      <c r="F755" t="s">
        <v>1162</v>
      </c>
      <c r="G755" t="s">
        <v>1163</v>
      </c>
      <c r="H755" s="1">
        <v>45252</v>
      </c>
      <c r="I755" s="1">
        <v>45257</v>
      </c>
      <c r="J755" s="3">
        <v>1442.24</v>
      </c>
      <c r="K755" s="4">
        <f t="shared" si="57"/>
        <v>5</v>
      </c>
      <c r="L755" t="str">
        <f t="shared" si="58"/>
        <v>Nov</v>
      </c>
      <c r="M755">
        <f t="shared" si="54"/>
        <v>2023</v>
      </c>
      <c r="N755">
        <f t="shared" si="55"/>
        <v>24</v>
      </c>
    </row>
    <row r="756" spans="1:14" x14ac:dyDescent="0.3">
      <c r="A756" t="s">
        <v>1643</v>
      </c>
      <c r="B756" t="s">
        <v>1644</v>
      </c>
      <c r="C756" s="1">
        <v>42612</v>
      </c>
      <c r="D756" t="s">
        <v>21</v>
      </c>
      <c r="E756" t="s">
        <v>1138</v>
      </c>
      <c r="F756" t="s">
        <v>1139</v>
      </c>
      <c r="G756" t="s">
        <v>1140</v>
      </c>
      <c r="H756" s="1">
        <v>44838</v>
      </c>
      <c r="I756" s="1">
        <v>44867</v>
      </c>
      <c r="J756" s="3">
        <v>1437.46</v>
      </c>
      <c r="K756" s="4">
        <f t="shared" si="57"/>
        <v>29</v>
      </c>
      <c r="L756" t="str">
        <f t="shared" si="58"/>
        <v>Oct</v>
      </c>
      <c r="M756">
        <f t="shared" si="54"/>
        <v>2022</v>
      </c>
      <c r="N756">
        <f t="shared" si="55"/>
        <v>6</v>
      </c>
    </row>
    <row r="757" spans="1:14" x14ac:dyDescent="0.3">
      <c r="A757" t="s">
        <v>1645</v>
      </c>
      <c r="B757" t="s">
        <v>1646</v>
      </c>
      <c r="C757" s="1">
        <v>24464</v>
      </c>
      <c r="D757" t="s">
        <v>15</v>
      </c>
      <c r="E757" t="s">
        <v>1127</v>
      </c>
      <c r="F757" t="s">
        <v>1128</v>
      </c>
      <c r="G757" t="s">
        <v>1276</v>
      </c>
      <c r="H757" s="1">
        <v>45326</v>
      </c>
      <c r="I757" s="1">
        <v>45356</v>
      </c>
      <c r="J757" s="3">
        <v>1412.36</v>
      </c>
      <c r="K757" s="4">
        <f t="shared" si="57"/>
        <v>30</v>
      </c>
      <c r="L757" t="str">
        <f t="shared" si="58"/>
        <v>Feb</v>
      </c>
      <c r="M757">
        <f t="shared" si="54"/>
        <v>2024</v>
      </c>
      <c r="N757">
        <f t="shared" si="55"/>
        <v>57</v>
      </c>
    </row>
    <row r="758" spans="1:14" x14ac:dyDescent="0.3">
      <c r="A758" t="s">
        <v>1647</v>
      </c>
      <c r="B758" t="s">
        <v>1648</v>
      </c>
      <c r="C758" s="1">
        <v>21017</v>
      </c>
      <c r="D758" t="s">
        <v>15</v>
      </c>
      <c r="E758" t="s">
        <v>1171</v>
      </c>
      <c r="F758" t="s">
        <v>295</v>
      </c>
      <c r="G758" t="s">
        <v>1179</v>
      </c>
      <c r="H758" s="1">
        <v>44966</v>
      </c>
      <c r="I758" s="1">
        <v>44975</v>
      </c>
      <c r="J758" s="3">
        <v>1406.65</v>
      </c>
      <c r="K758" s="4">
        <f t="shared" si="57"/>
        <v>9</v>
      </c>
      <c r="L758" t="str">
        <f t="shared" si="58"/>
        <v>Feb</v>
      </c>
      <c r="M758">
        <f t="shared" si="54"/>
        <v>2023</v>
      </c>
      <c r="N758">
        <f t="shared" si="55"/>
        <v>65</v>
      </c>
    </row>
    <row r="759" spans="1:14" x14ac:dyDescent="0.3">
      <c r="A759" t="s">
        <v>1649</v>
      </c>
      <c r="B759" t="s">
        <v>1650</v>
      </c>
      <c r="C759" s="1">
        <v>43663</v>
      </c>
      <c r="D759" t="s">
        <v>15</v>
      </c>
      <c r="E759" t="s">
        <v>1171</v>
      </c>
      <c r="F759" t="s">
        <v>295</v>
      </c>
      <c r="G759" t="s">
        <v>1172</v>
      </c>
      <c r="H759" s="1">
        <v>44656</v>
      </c>
      <c r="I759" s="1">
        <v>44662</v>
      </c>
      <c r="J759" s="3">
        <v>1404.21</v>
      </c>
      <c r="K759" s="4">
        <f t="shared" si="57"/>
        <v>6</v>
      </c>
      <c r="L759" t="str">
        <f t="shared" si="58"/>
        <v>Apr</v>
      </c>
      <c r="M759">
        <f t="shared" si="54"/>
        <v>2022</v>
      </c>
      <c r="N759">
        <f t="shared" si="55"/>
        <v>2</v>
      </c>
    </row>
    <row r="760" spans="1:14" x14ac:dyDescent="0.3">
      <c r="A760" s="2" t="s">
        <v>1651</v>
      </c>
      <c r="B760" t="s">
        <v>1652</v>
      </c>
      <c r="C760" s="1">
        <v>33497</v>
      </c>
      <c r="D760" t="s">
        <v>15</v>
      </c>
      <c r="E760" t="s">
        <v>1127</v>
      </c>
      <c r="F760" t="s">
        <v>91</v>
      </c>
      <c r="G760" t="s">
        <v>1129</v>
      </c>
      <c r="H760" s="1">
        <v>45049</v>
      </c>
      <c r="I760" s="1">
        <v>45075</v>
      </c>
      <c r="J760" s="3">
        <v>1395.34</v>
      </c>
      <c r="K760" s="4">
        <f t="shared" si="57"/>
        <v>26</v>
      </c>
      <c r="L760" t="str">
        <f t="shared" si="58"/>
        <v>May</v>
      </c>
      <c r="M760">
        <f t="shared" ref="M760:M821" si="59">YEAR(H760)</f>
        <v>2023</v>
      </c>
      <c r="N760">
        <f t="shared" ref="N760:N821" si="60">DATEDIF(C760, H760, "Y")</f>
        <v>31</v>
      </c>
    </row>
    <row r="761" spans="1:14" x14ac:dyDescent="0.3">
      <c r="A761" t="s">
        <v>1653</v>
      </c>
      <c r="B761" t="s">
        <v>1654</v>
      </c>
      <c r="C761" s="1">
        <v>13515</v>
      </c>
      <c r="D761" t="s">
        <v>21</v>
      </c>
      <c r="E761" t="s">
        <v>1161</v>
      </c>
      <c r="F761" t="s">
        <v>683</v>
      </c>
      <c r="G761" t="s">
        <v>1248</v>
      </c>
      <c r="H761" s="1">
        <v>44999</v>
      </c>
      <c r="I761" s="1">
        <v>45020</v>
      </c>
      <c r="J761" s="3">
        <v>1389.07</v>
      </c>
      <c r="K761" s="4">
        <f t="shared" si="57"/>
        <v>21</v>
      </c>
      <c r="L761" t="str">
        <f t="shared" si="58"/>
        <v>Mar</v>
      </c>
      <c r="M761">
        <f t="shared" si="59"/>
        <v>2023</v>
      </c>
      <c r="N761">
        <f t="shared" si="60"/>
        <v>86</v>
      </c>
    </row>
    <row r="762" spans="1:14" x14ac:dyDescent="0.3">
      <c r="A762" t="s">
        <v>1655</v>
      </c>
      <c r="B762" t="s">
        <v>1656</v>
      </c>
      <c r="C762" s="1">
        <v>30511</v>
      </c>
      <c r="D762" t="s">
        <v>21</v>
      </c>
      <c r="E762" t="s">
        <v>952</v>
      </c>
      <c r="F762" t="s">
        <v>968</v>
      </c>
      <c r="G762" t="s">
        <v>954</v>
      </c>
      <c r="H762" s="1">
        <v>45189</v>
      </c>
      <c r="I762" s="1">
        <v>45208</v>
      </c>
      <c r="J762" s="3">
        <v>1385.07</v>
      </c>
      <c r="K762" s="4">
        <f t="shared" si="57"/>
        <v>19</v>
      </c>
      <c r="L762" t="str">
        <f t="shared" si="58"/>
        <v>Sep</v>
      </c>
      <c r="M762">
        <f t="shared" si="59"/>
        <v>2023</v>
      </c>
      <c r="N762">
        <f t="shared" si="60"/>
        <v>40</v>
      </c>
    </row>
    <row r="763" spans="1:14" x14ac:dyDescent="0.3">
      <c r="A763" t="s">
        <v>1657</v>
      </c>
      <c r="B763" t="s">
        <v>1658</v>
      </c>
      <c r="C763" s="1">
        <v>43439</v>
      </c>
      <c r="D763" t="s">
        <v>15</v>
      </c>
      <c r="E763" t="s">
        <v>1127</v>
      </c>
      <c r="F763" t="s">
        <v>1128</v>
      </c>
      <c r="G763" t="s">
        <v>1276</v>
      </c>
      <c r="H763" s="1">
        <v>45316</v>
      </c>
      <c r="I763" s="1">
        <v>45337</v>
      </c>
      <c r="J763" s="3">
        <v>1383.73</v>
      </c>
      <c r="K763" s="4">
        <f t="shared" si="57"/>
        <v>21</v>
      </c>
      <c r="L763" t="str">
        <f t="shared" si="58"/>
        <v>Jan</v>
      </c>
      <c r="M763">
        <f t="shared" si="59"/>
        <v>2024</v>
      </c>
      <c r="N763">
        <f t="shared" si="60"/>
        <v>5</v>
      </c>
    </row>
    <row r="764" spans="1:14" x14ac:dyDescent="0.3">
      <c r="A764" t="s">
        <v>1659</v>
      </c>
      <c r="B764" t="s">
        <v>1660</v>
      </c>
      <c r="C764" s="1">
        <v>32825</v>
      </c>
      <c r="D764" t="s">
        <v>15</v>
      </c>
      <c r="E764" t="s">
        <v>922</v>
      </c>
      <c r="F764" t="s">
        <v>683</v>
      </c>
      <c r="G764" t="s">
        <v>933</v>
      </c>
      <c r="H764" s="1">
        <v>45106</v>
      </c>
      <c r="I764" s="1">
        <v>45134</v>
      </c>
      <c r="J764" s="3">
        <v>1376.18</v>
      </c>
      <c r="K764" s="4">
        <f t="shared" si="57"/>
        <v>28</v>
      </c>
      <c r="L764" t="str">
        <f t="shared" si="58"/>
        <v>Jun</v>
      </c>
      <c r="M764">
        <f t="shared" si="59"/>
        <v>2023</v>
      </c>
      <c r="N764">
        <f t="shared" si="60"/>
        <v>33</v>
      </c>
    </row>
    <row r="765" spans="1:14" x14ac:dyDescent="0.3">
      <c r="A765" t="s">
        <v>1661</v>
      </c>
      <c r="B765" t="s">
        <v>1662</v>
      </c>
      <c r="C765" s="1">
        <v>38633</v>
      </c>
      <c r="D765" t="s">
        <v>21</v>
      </c>
      <c r="E765" t="s">
        <v>960</v>
      </c>
      <c r="F765" t="s">
        <v>985</v>
      </c>
      <c r="G765" t="s">
        <v>961</v>
      </c>
      <c r="H765" s="1">
        <v>44453</v>
      </c>
      <c r="I765" s="1">
        <v>44471</v>
      </c>
      <c r="J765" s="3">
        <v>1362.26</v>
      </c>
      <c r="K765" s="4">
        <f t="shared" si="57"/>
        <v>18</v>
      </c>
      <c r="L765" t="str">
        <f t="shared" si="58"/>
        <v>Sep</v>
      </c>
      <c r="M765">
        <f t="shared" si="59"/>
        <v>2021</v>
      </c>
      <c r="N765">
        <f t="shared" si="60"/>
        <v>15</v>
      </c>
    </row>
    <row r="766" spans="1:14" x14ac:dyDescent="0.3">
      <c r="A766" t="s">
        <v>1663</v>
      </c>
      <c r="B766" t="s">
        <v>1664</v>
      </c>
      <c r="C766" s="1">
        <v>26191</v>
      </c>
      <c r="D766" t="s">
        <v>15</v>
      </c>
      <c r="E766" t="s">
        <v>960</v>
      </c>
      <c r="F766" t="s">
        <v>985</v>
      </c>
      <c r="G766" t="s">
        <v>961</v>
      </c>
      <c r="H766" s="1">
        <v>45446</v>
      </c>
      <c r="I766" s="1">
        <v>45468</v>
      </c>
      <c r="J766" s="3">
        <v>1353.49</v>
      </c>
      <c r="K766" s="4">
        <f t="shared" si="57"/>
        <v>22</v>
      </c>
      <c r="L766" t="str">
        <f t="shared" si="58"/>
        <v>Jun</v>
      </c>
      <c r="M766">
        <f t="shared" si="59"/>
        <v>2024</v>
      </c>
      <c r="N766">
        <f t="shared" si="60"/>
        <v>52</v>
      </c>
    </row>
    <row r="767" spans="1:14" x14ac:dyDescent="0.3">
      <c r="A767" t="s">
        <v>1665</v>
      </c>
      <c r="B767" t="s">
        <v>1666</v>
      </c>
      <c r="C767" s="1">
        <v>30434</v>
      </c>
      <c r="D767" t="s">
        <v>15</v>
      </c>
      <c r="E767" t="s">
        <v>1161</v>
      </c>
      <c r="F767" t="s">
        <v>1162</v>
      </c>
      <c r="G767" t="s">
        <v>1163</v>
      </c>
      <c r="H767" s="1">
        <v>44491</v>
      </c>
      <c r="I767" s="1">
        <v>44499</v>
      </c>
      <c r="J767" s="3">
        <v>1348.57</v>
      </c>
      <c r="K767" s="4">
        <f t="shared" si="57"/>
        <v>8</v>
      </c>
      <c r="L767" t="str">
        <f t="shared" si="58"/>
        <v>Oct</v>
      </c>
      <c r="M767">
        <f t="shared" si="59"/>
        <v>2021</v>
      </c>
      <c r="N767">
        <f t="shared" si="60"/>
        <v>38</v>
      </c>
    </row>
    <row r="768" spans="1:14" x14ac:dyDescent="0.3">
      <c r="A768" t="s">
        <v>1667</v>
      </c>
      <c r="B768" t="s">
        <v>1668</v>
      </c>
      <c r="C768" s="1">
        <v>20874</v>
      </c>
      <c r="D768" t="s">
        <v>21</v>
      </c>
      <c r="E768" t="s">
        <v>1161</v>
      </c>
      <c r="F768" t="s">
        <v>1162</v>
      </c>
      <c r="G768" t="s">
        <v>957</v>
      </c>
      <c r="H768" s="1">
        <v>45058</v>
      </c>
      <c r="I768" s="1">
        <v>45061</v>
      </c>
      <c r="J768" s="3">
        <v>1338.19</v>
      </c>
      <c r="K768" s="4">
        <f t="shared" si="57"/>
        <v>3</v>
      </c>
      <c r="L768" t="str">
        <f t="shared" si="58"/>
        <v>May</v>
      </c>
      <c r="M768">
        <f t="shared" si="59"/>
        <v>2023</v>
      </c>
      <c r="N768">
        <f t="shared" si="60"/>
        <v>66</v>
      </c>
    </row>
    <row r="769" spans="1:14" x14ac:dyDescent="0.3">
      <c r="A769" t="s">
        <v>1669</v>
      </c>
      <c r="B769" t="s">
        <v>1670</v>
      </c>
      <c r="C769" s="1">
        <v>25153</v>
      </c>
      <c r="D769" t="s">
        <v>21</v>
      </c>
      <c r="E769" t="s">
        <v>1171</v>
      </c>
      <c r="F769" t="s">
        <v>1128</v>
      </c>
      <c r="G769" t="s">
        <v>1179</v>
      </c>
      <c r="H769" s="1">
        <v>45321</v>
      </c>
      <c r="I769" s="1">
        <v>45327</v>
      </c>
      <c r="J769" s="3">
        <v>1335.47</v>
      </c>
      <c r="K769" s="4">
        <f t="shared" si="57"/>
        <v>6</v>
      </c>
      <c r="L769" t="str">
        <f t="shared" si="58"/>
        <v>Jan</v>
      </c>
      <c r="M769">
        <f t="shared" si="59"/>
        <v>2024</v>
      </c>
      <c r="N769">
        <f t="shared" si="60"/>
        <v>55</v>
      </c>
    </row>
    <row r="770" spans="1:14" x14ac:dyDescent="0.3">
      <c r="A770" t="s">
        <v>1671</v>
      </c>
      <c r="B770" t="s">
        <v>1672</v>
      </c>
      <c r="C770" s="1">
        <v>10127</v>
      </c>
      <c r="D770" t="s">
        <v>15</v>
      </c>
      <c r="E770" t="s">
        <v>1132</v>
      </c>
      <c r="F770" t="s">
        <v>295</v>
      </c>
      <c r="G770" t="s">
        <v>1184</v>
      </c>
      <c r="H770" s="1">
        <v>44558</v>
      </c>
      <c r="I770" s="1">
        <v>44560</v>
      </c>
      <c r="J770" s="3">
        <v>1334.9</v>
      </c>
      <c r="K770" s="4">
        <f t="shared" si="57"/>
        <v>2</v>
      </c>
      <c r="L770" t="str">
        <f t="shared" si="58"/>
        <v>Dec</v>
      </c>
      <c r="M770">
        <f t="shared" si="59"/>
        <v>2021</v>
      </c>
      <c r="N770">
        <f t="shared" si="60"/>
        <v>94</v>
      </c>
    </row>
    <row r="771" spans="1:14" x14ac:dyDescent="0.3">
      <c r="A771" t="s">
        <v>1673</v>
      </c>
      <c r="B771" t="s">
        <v>1674</v>
      </c>
      <c r="C771" s="1">
        <v>28596</v>
      </c>
      <c r="D771" t="s">
        <v>21</v>
      </c>
      <c r="E771" t="s">
        <v>2144</v>
      </c>
      <c r="F771" t="s">
        <v>295</v>
      </c>
      <c r="G771" t="s">
        <v>1149</v>
      </c>
      <c r="H771" s="1">
        <v>44589</v>
      </c>
      <c r="I771" s="1">
        <v>44615</v>
      </c>
      <c r="J771" s="3">
        <v>1311.58</v>
      </c>
      <c r="K771" s="4">
        <f t="shared" si="57"/>
        <v>26</v>
      </c>
      <c r="L771" t="str">
        <f t="shared" si="58"/>
        <v>Jan</v>
      </c>
      <c r="M771">
        <f t="shared" si="59"/>
        <v>2022</v>
      </c>
      <c r="N771">
        <f t="shared" si="60"/>
        <v>43</v>
      </c>
    </row>
    <row r="772" spans="1:14" x14ac:dyDescent="0.3">
      <c r="A772" t="s">
        <v>1675</v>
      </c>
      <c r="B772" t="s">
        <v>1676</v>
      </c>
      <c r="C772" s="1">
        <v>9216</v>
      </c>
      <c r="D772" t="s">
        <v>21</v>
      </c>
      <c r="E772" t="s">
        <v>1147</v>
      </c>
      <c r="F772" t="s">
        <v>1128</v>
      </c>
      <c r="G772" t="s">
        <v>1149</v>
      </c>
      <c r="H772" s="1">
        <v>45092</v>
      </c>
      <c r="I772" s="1">
        <v>45115</v>
      </c>
      <c r="J772" s="3">
        <v>1311.35</v>
      </c>
      <c r="K772" s="4">
        <f t="shared" si="57"/>
        <v>23</v>
      </c>
      <c r="L772" t="str">
        <f t="shared" si="58"/>
        <v>Jun</v>
      </c>
      <c r="M772">
        <f t="shared" si="59"/>
        <v>2023</v>
      </c>
      <c r="N772">
        <f t="shared" si="60"/>
        <v>98</v>
      </c>
    </row>
    <row r="773" spans="1:14" x14ac:dyDescent="0.3">
      <c r="A773" t="s">
        <v>1677</v>
      </c>
      <c r="B773" t="s">
        <v>1678</v>
      </c>
      <c r="C773" s="1">
        <v>8689</v>
      </c>
      <c r="D773" t="s">
        <v>15</v>
      </c>
      <c r="E773" t="s">
        <v>960</v>
      </c>
      <c r="F773" t="s">
        <v>985</v>
      </c>
      <c r="G773" t="s">
        <v>1018</v>
      </c>
      <c r="H773" s="1">
        <v>45164</v>
      </c>
      <c r="I773" s="1">
        <v>45183</v>
      </c>
      <c r="J773" s="3">
        <v>1299.07</v>
      </c>
      <c r="K773" s="4">
        <f t="shared" si="57"/>
        <v>19</v>
      </c>
      <c r="L773" t="str">
        <f t="shared" si="58"/>
        <v>Aug</v>
      </c>
      <c r="M773">
        <f t="shared" si="59"/>
        <v>2023</v>
      </c>
      <c r="N773">
        <f t="shared" si="60"/>
        <v>99</v>
      </c>
    </row>
    <row r="774" spans="1:14" x14ac:dyDescent="0.3">
      <c r="A774" t="s">
        <v>1679</v>
      </c>
      <c r="B774" t="s">
        <v>1680</v>
      </c>
      <c r="C774" s="1">
        <v>22451</v>
      </c>
      <c r="D774" t="s">
        <v>21</v>
      </c>
      <c r="E774" t="s">
        <v>2144</v>
      </c>
      <c r="F774" t="s">
        <v>1168</v>
      </c>
      <c r="G774" t="s">
        <v>1332</v>
      </c>
      <c r="H774" s="1">
        <v>45382</v>
      </c>
      <c r="I774" s="1">
        <v>45407</v>
      </c>
      <c r="J774" s="3">
        <v>1296.31</v>
      </c>
      <c r="K774" s="4">
        <f t="shared" si="57"/>
        <v>25</v>
      </c>
      <c r="L774" t="str">
        <f t="shared" si="58"/>
        <v>Mar</v>
      </c>
      <c r="M774">
        <f t="shared" si="59"/>
        <v>2024</v>
      </c>
      <c r="N774">
        <f t="shared" si="60"/>
        <v>62</v>
      </c>
    </row>
    <row r="775" spans="1:14" x14ac:dyDescent="0.3">
      <c r="A775" t="s">
        <v>1681</v>
      </c>
      <c r="B775" t="s">
        <v>1196</v>
      </c>
      <c r="C775" s="1">
        <v>13318</v>
      </c>
      <c r="D775" t="s">
        <v>21</v>
      </c>
      <c r="E775" t="s">
        <v>1171</v>
      </c>
      <c r="F775" t="s">
        <v>295</v>
      </c>
      <c r="G775" t="s">
        <v>1172</v>
      </c>
      <c r="H775" s="1">
        <v>45249</v>
      </c>
      <c r="I775" s="1">
        <v>45252</v>
      </c>
      <c r="J775" s="3">
        <v>1294.3800000000001</v>
      </c>
      <c r="K775" s="4">
        <f t="shared" si="57"/>
        <v>3</v>
      </c>
      <c r="L775" t="str">
        <f t="shared" si="58"/>
        <v>Nov</v>
      </c>
      <c r="M775">
        <f t="shared" si="59"/>
        <v>2023</v>
      </c>
      <c r="N775">
        <f t="shared" si="60"/>
        <v>87</v>
      </c>
    </row>
    <row r="776" spans="1:14" x14ac:dyDescent="0.3">
      <c r="A776" t="s">
        <v>1682</v>
      </c>
      <c r="B776" t="s">
        <v>1683</v>
      </c>
      <c r="C776" s="1">
        <v>9318</v>
      </c>
      <c r="D776" t="s">
        <v>15</v>
      </c>
      <c r="E776" t="s">
        <v>1147</v>
      </c>
      <c r="F776" t="s">
        <v>1339</v>
      </c>
      <c r="G776" t="s">
        <v>1236</v>
      </c>
      <c r="H776" s="1">
        <v>45431</v>
      </c>
      <c r="I776" s="1">
        <v>45447</v>
      </c>
      <c r="J776" s="3">
        <v>1285.1400000000001</v>
      </c>
      <c r="K776" s="4">
        <f t="shared" ref="K776:K796" si="61" xml:space="preserve"> I776-H776</f>
        <v>16</v>
      </c>
      <c r="L776" t="str">
        <f t="shared" si="58"/>
        <v>May</v>
      </c>
      <c r="M776">
        <f t="shared" si="59"/>
        <v>2024</v>
      </c>
      <c r="N776">
        <f t="shared" si="60"/>
        <v>98</v>
      </c>
    </row>
    <row r="777" spans="1:14" x14ac:dyDescent="0.3">
      <c r="A777" t="s">
        <v>1684</v>
      </c>
      <c r="B777" t="s">
        <v>1685</v>
      </c>
      <c r="C777" s="1">
        <v>28888</v>
      </c>
      <c r="D777" t="s">
        <v>15</v>
      </c>
      <c r="E777" t="s">
        <v>1127</v>
      </c>
      <c r="F777" t="s">
        <v>1168</v>
      </c>
      <c r="G777" t="s">
        <v>1129</v>
      </c>
      <c r="H777" s="1">
        <v>44999</v>
      </c>
      <c r="I777" s="1">
        <v>45023</v>
      </c>
      <c r="J777" s="3">
        <v>1278.33</v>
      </c>
      <c r="K777" s="4">
        <f t="shared" si="61"/>
        <v>24</v>
      </c>
      <c r="L777" t="str">
        <f t="shared" si="58"/>
        <v>Mar</v>
      </c>
      <c r="M777">
        <f t="shared" si="59"/>
        <v>2023</v>
      </c>
      <c r="N777">
        <f t="shared" si="60"/>
        <v>44</v>
      </c>
    </row>
    <row r="778" spans="1:14" x14ac:dyDescent="0.3">
      <c r="A778" t="s">
        <v>1686</v>
      </c>
      <c r="B778" t="s">
        <v>1687</v>
      </c>
      <c r="C778" s="1">
        <v>16950</v>
      </c>
      <c r="D778" t="s">
        <v>15</v>
      </c>
      <c r="E778" t="s">
        <v>2144</v>
      </c>
      <c r="F778" t="s">
        <v>295</v>
      </c>
      <c r="G778" t="s">
        <v>1228</v>
      </c>
      <c r="H778" s="1">
        <v>44672</v>
      </c>
      <c r="I778" s="1">
        <v>44673</v>
      </c>
      <c r="J778" s="3">
        <v>1277.6300000000001</v>
      </c>
      <c r="K778" s="4">
        <f t="shared" si="61"/>
        <v>1</v>
      </c>
      <c r="L778" t="str">
        <f t="shared" si="58"/>
        <v>Apr</v>
      </c>
      <c r="M778">
        <f t="shared" si="59"/>
        <v>2022</v>
      </c>
      <c r="N778">
        <f t="shared" si="60"/>
        <v>75</v>
      </c>
    </row>
    <row r="779" spans="1:14" x14ac:dyDescent="0.3">
      <c r="A779" t="s">
        <v>1688</v>
      </c>
      <c r="B779" t="s">
        <v>1689</v>
      </c>
      <c r="C779" s="1">
        <v>36860</v>
      </c>
      <c r="D779" t="s">
        <v>21</v>
      </c>
      <c r="E779" t="s">
        <v>922</v>
      </c>
      <c r="F779" t="s">
        <v>683</v>
      </c>
      <c r="G779" t="s">
        <v>933</v>
      </c>
      <c r="H779" s="1">
        <v>44709</v>
      </c>
      <c r="I779" s="1">
        <v>44736</v>
      </c>
      <c r="J779" s="3">
        <v>1275.3499999999999</v>
      </c>
      <c r="K779" s="4">
        <f t="shared" si="61"/>
        <v>27</v>
      </c>
      <c r="L779" t="str">
        <f t="shared" si="58"/>
        <v>May</v>
      </c>
      <c r="M779">
        <f t="shared" si="59"/>
        <v>2022</v>
      </c>
      <c r="N779">
        <f t="shared" si="60"/>
        <v>21</v>
      </c>
    </row>
    <row r="780" spans="1:14" x14ac:dyDescent="0.3">
      <c r="A780" t="s">
        <v>1690</v>
      </c>
      <c r="B780" t="s">
        <v>1691</v>
      </c>
      <c r="C780" s="1">
        <v>33574</v>
      </c>
      <c r="D780" t="s">
        <v>15</v>
      </c>
      <c r="E780" t="s">
        <v>1161</v>
      </c>
      <c r="F780" t="s">
        <v>683</v>
      </c>
      <c r="G780" t="s">
        <v>1248</v>
      </c>
      <c r="H780" s="1">
        <v>44490</v>
      </c>
      <c r="I780" s="1">
        <v>44492</v>
      </c>
      <c r="J780" s="3">
        <v>1273.0999999999999</v>
      </c>
      <c r="K780" s="4">
        <f t="shared" si="61"/>
        <v>2</v>
      </c>
      <c r="L780" t="str">
        <f t="shared" si="58"/>
        <v>Oct</v>
      </c>
      <c r="M780">
        <f t="shared" si="59"/>
        <v>2021</v>
      </c>
      <c r="N780">
        <f t="shared" si="60"/>
        <v>29</v>
      </c>
    </row>
    <row r="781" spans="1:14" x14ac:dyDescent="0.3">
      <c r="A781" t="s">
        <v>1692</v>
      </c>
      <c r="B781" t="s">
        <v>1693</v>
      </c>
      <c r="C781" s="1">
        <v>18000</v>
      </c>
      <c r="D781" t="s">
        <v>21</v>
      </c>
      <c r="E781" t="s">
        <v>1214</v>
      </c>
      <c r="F781" t="s">
        <v>84</v>
      </c>
      <c r="G781" t="s">
        <v>1694</v>
      </c>
      <c r="H781" s="1">
        <v>44547</v>
      </c>
      <c r="I781" s="1">
        <v>44568</v>
      </c>
      <c r="J781" s="3">
        <v>1259.94</v>
      </c>
      <c r="K781" s="4">
        <f t="shared" si="61"/>
        <v>21</v>
      </c>
      <c r="L781" t="str">
        <f t="shared" si="58"/>
        <v>Dec</v>
      </c>
      <c r="M781">
        <f t="shared" si="59"/>
        <v>2021</v>
      </c>
      <c r="N781">
        <f t="shared" si="60"/>
        <v>72</v>
      </c>
    </row>
    <row r="782" spans="1:14" x14ac:dyDescent="0.3">
      <c r="A782" t="s">
        <v>1695</v>
      </c>
      <c r="B782" t="s">
        <v>1696</v>
      </c>
      <c r="C782" s="1">
        <v>26408</v>
      </c>
      <c r="D782" t="s">
        <v>21</v>
      </c>
      <c r="E782" t="s">
        <v>1161</v>
      </c>
      <c r="F782" t="s">
        <v>1162</v>
      </c>
      <c r="G782" t="s">
        <v>1163</v>
      </c>
      <c r="H782" s="1">
        <v>45304</v>
      </c>
      <c r="I782" s="1">
        <v>45331</v>
      </c>
      <c r="J782" s="3">
        <v>1256.6300000000001</v>
      </c>
      <c r="K782" s="4">
        <f t="shared" si="61"/>
        <v>27</v>
      </c>
      <c r="L782" t="str">
        <f t="shared" si="58"/>
        <v>Jan</v>
      </c>
      <c r="M782">
        <f t="shared" si="59"/>
        <v>2024</v>
      </c>
      <c r="N782">
        <f t="shared" si="60"/>
        <v>51</v>
      </c>
    </row>
    <row r="783" spans="1:14" x14ac:dyDescent="0.3">
      <c r="A783" t="s">
        <v>1697</v>
      </c>
      <c r="B783" t="s">
        <v>1698</v>
      </c>
      <c r="C783" s="1">
        <v>31769</v>
      </c>
      <c r="D783" t="s">
        <v>15</v>
      </c>
      <c r="E783" t="s">
        <v>1132</v>
      </c>
      <c r="F783" t="s">
        <v>1187</v>
      </c>
      <c r="G783" t="s">
        <v>1184</v>
      </c>
      <c r="H783" s="1">
        <v>45455</v>
      </c>
      <c r="I783" s="1">
        <v>45472</v>
      </c>
      <c r="J783" s="3">
        <v>1253.78</v>
      </c>
      <c r="K783" s="4">
        <f t="shared" si="61"/>
        <v>17</v>
      </c>
      <c r="L783" t="str">
        <f t="shared" si="58"/>
        <v>Jun</v>
      </c>
      <c r="M783">
        <f t="shared" si="59"/>
        <v>2024</v>
      </c>
      <c r="N783">
        <f t="shared" si="60"/>
        <v>37</v>
      </c>
    </row>
    <row r="784" spans="1:14" x14ac:dyDescent="0.3">
      <c r="A784" t="s">
        <v>1699</v>
      </c>
      <c r="B784" t="s">
        <v>1700</v>
      </c>
      <c r="C784" s="1">
        <v>24093</v>
      </c>
      <c r="D784" t="s">
        <v>21</v>
      </c>
      <c r="E784" t="s">
        <v>1171</v>
      </c>
      <c r="F784" t="s">
        <v>1128</v>
      </c>
      <c r="G784" t="s">
        <v>1184</v>
      </c>
      <c r="H784" s="1">
        <v>44607</v>
      </c>
      <c r="I784" s="1">
        <v>44608</v>
      </c>
      <c r="J784" s="3">
        <v>1251.96</v>
      </c>
      <c r="K784" s="4">
        <f t="shared" si="61"/>
        <v>1</v>
      </c>
      <c r="L784" t="str">
        <f t="shared" si="58"/>
        <v>Feb</v>
      </c>
      <c r="M784">
        <f t="shared" si="59"/>
        <v>2022</v>
      </c>
      <c r="N784">
        <f t="shared" si="60"/>
        <v>56</v>
      </c>
    </row>
    <row r="785" spans="1:14" x14ac:dyDescent="0.3">
      <c r="A785" t="s">
        <v>1701</v>
      </c>
      <c r="B785" t="s">
        <v>1702</v>
      </c>
      <c r="C785" s="1">
        <v>37315</v>
      </c>
      <c r="D785" t="s">
        <v>15</v>
      </c>
      <c r="E785" t="s">
        <v>1214</v>
      </c>
      <c r="F785" t="s">
        <v>1215</v>
      </c>
      <c r="G785" t="s">
        <v>1216</v>
      </c>
      <c r="H785" s="1">
        <v>44649</v>
      </c>
      <c r="I785" s="1">
        <v>44659</v>
      </c>
      <c r="J785" s="3">
        <v>1244.31</v>
      </c>
      <c r="K785" s="4">
        <f t="shared" si="61"/>
        <v>10</v>
      </c>
      <c r="L785" t="str">
        <f t="shared" si="58"/>
        <v>Mar</v>
      </c>
      <c r="M785">
        <f t="shared" si="59"/>
        <v>2022</v>
      </c>
      <c r="N785">
        <f t="shared" si="60"/>
        <v>20</v>
      </c>
    </row>
    <row r="786" spans="1:14" x14ac:dyDescent="0.3">
      <c r="A786" t="s">
        <v>1703</v>
      </c>
      <c r="B786" t="s">
        <v>1704</v>
      </c>
      <c r="C786" s="1">
        <v>30799</v>
      </c>
      <c r="D786" t="s">
        <v>15</v>
      </c>
      <c r="E786" t="s">
        <v>1214</v>
      </c>
      <c r="F786" t="s">
        <v>1215</v>
      </c>
      <c r="G786" t="s">
        <v>1225</v>
      </c>
      <c r="H786" s="1">
        <v>44482</v>
      </c>
      <c r="I786" s="1">
        <v>44503</v>
      </c>
      <c r="J786" s="3">
        <v>1229.01</v>
      </c>
      <c r="K786" s="4">
        <f t="shared" si="61"/>
        <v>21</v>
      </c>
      <c r="L786" t="str">
        <f t="shared" si="58"/>
        <v>Oct</v>
      </c>
      <c r="M786">
        <f t="shared" si="59"/>
        <v>2021</v>
      </c>
      <c r="N786">
        <f t="shared" si="60"/>
        <v>37</v>
      </c>
    </row>
    <row r="787" spans="1:14" x14ac:dyDescent="0.3">
      <c r="A787" t="s">
        <v>1705</v>
      </c>
      <c r="B787" t="s">
        <v>1706</v>
      </c>
      <c r="C787" s="1">
        <v>19913</v>
      </c>
      <c r="D787" t="s">
        <v>21</v>
      </c>
      <c r="E787" t="s">
        <v>1138</v>
      </c>
      <c r="F787" t="s">
        <v>1231</v>
      </c>
      <c r="G787" t="s">
        <v>1199</v>
      </c>
      <c r="H787" s="1">
        <v>44613</v>
      </c>
      <c r="I787" s="1">
        <v>44634</v>
      </c>
      <c r="J787" s="3">
        <v>1220.42</v>
      </c>
      <c r="K787" s="4">
        <f t="shared" si="61"/>
        <v>21</v>
      </c>
      <c r="L787" t="str">
        <f t="shared" si="58"/>
        <v>Feb</v>
      </c>
      <c r="M787">
        <f t="shared" si="59"/>
        <v>2022</v>
      </c>
      <c r="N787">
        <f t="shared" si="60"/>
        <v>67</v>
      </c>
    </row>
    <row r="788" spans="1:14" x14ac:dyDescent="0.3">
      <c r="A788" t="s">
        <v>1707</v>
      </c>
      <c r="B788" t="s">
        <v>1708</v>
      </c>
      <c r="C788" s="1">
        <v>13743</v>
      </c>
      <c r="D788" t="s">
        <v>15</v>
      </c>
      <c r="E788" t="s">
        <v>2144</v>
      </c>
      <c r="F788" t="s">
        <v>295</v>
      </c>
      <c r="G788" t="s">
        <v>1332</v>
      </c>
      <c r="H788" s="1">
        <v>44925</v>
      </c>
      <c r="I788" s="1">
        <v>44947</v>
      </c>
      <c r="J788" s="3">
        <v>1213.74</v>
      </c>
      <c r="K788" s="4">
        <f t="shared" si="61"/>
        <v>22</v>
      </c>
      <c r="L788" t="str">
        <f t="shared" si="58"/>
        <v>Dec</v>
      </c>
      <c r="M788">
        <f t="shared" si="59"/>
        <v>2022</v>
      </c>
      <c r="N788">
        <f t="shared" si="60"/>
        <v>85</v>
      </c>
    </row>
    <row r="789" spans="1:14" x14ac:dyDescent="0.3">
      <c r="A789" t="s">
        <v>1709</v>
      </c>
      <c r="B789" t="s">
        <v>1710</v>
      </c>
      <c r="C789" s="1">
        <v>14340</v>
      </c>
      <c r="D789" t="s">
        <v>15</v>
      </c>
      <c r="E789" t="s">
        <v>1171</v>
      </c>
      <c r="F789" t="s">
        <v>295</v>
      </c>
      <c r="G789" t="s">
        <v>1172</v>
      </c>
      <c r="H789" s="1">
        <v>45239</v>
      </c>
      <c r="I789" s="1">
        <v>45265</v>
      </c>
      <c r="J789" s="3">
        <v>1207.8</v>
      </c>
      <c r="K789" s="4">
        <f t="shared" si="61"/>
        <v>26</v>
      </c>
      <c r="L789" t="str">
        <f t="shared" si="58"/>
        <v>Nov</v>
      </c>
      <c r="M789">
        <f t="shared" si="59"/>
        <v>2023</v>
      </c>
      <c r="N789">
        <f t="shared" si="60"/>
        <v>84</v>
      </c>
    </row>
    <row r="790" spans="1:14" x14ac:dyDescent="0.3">
      <c r="A790" t="s">
        <v>1711</v>
      </c>
      <c r="B790" t="s">
        <v>1712</v>
      </c>
      <c r="C790" s="1">
        <v>18524</v>
      </c>
      <c r="D790" t="s">
        <v>21</v>
      </c>
      <c r="E790" t="s">
        <v>922</v>
      </c>
      <c r="F790" t="s">
        <v>84</v>
      </c>
      <c r="G790" t="s">
        <v>923</v>
      </c>
      <c r="H790" s="1">
        <v>44575</v>
      </c>
      <c r="I790" s="1">
        <v>44582</v>
      </c>
      <c r="J790" s="3">
        <v>1200.81</v>
      </c>
      <c r="K790" s="4">
        <f t="shared" si="61"/>
        <v>7</v>
      </c>
      <c r="L790" t="str">
        <f t="shared" si="58"/>
        <v>Jan</v>
      </c>
      <c r="M790">
        <f t="shared" si="59"/>
        <v>2022</v>
      </c>
      <c r="N790">
        <f t="shared" si="60"/>
        <v>71</v>
      </c>
    </row>
    <row r="791" spans="1:14" x14ac:dyDescent="0.3">
      <c r="A791" t="s">
        <v>1713</v>
      </c>
      <c r="B791" t="s">
        <v>1714</v>
      </c>
      <c r="C791" s="1">
        <v>12344</v>
      </c>
      <c r="D791" t="s">
        <v>21</v>
      </c>
      <c r="E791" t="s">
        <v>1132</v>
      </c>
      <c r="F791" t="s">
        <v>1187</v>
      </c>
      <c r="G791" t="s">
        <v>1188</v>
      </c>
      <c r="H791" s="1">
        <v>45296</v>
      </c>
      <c r="I791" s="1">
        <v>45311</v>
      </c>
      <c r="J791" s="3">
        <v>1191.77</v>
      </c>
      <c r="K791" s="4">
        <f t="shared" si="61"/>
        <v>15</v>
      </c>
      <c r="L791" t="str">
        <f t="shared" si="58"/>
        <v>Jan</v>
      </c>
      <c r="M791">
        <f t="shared" si="59"/>
        <v>2024</v>
      </c>
      <c r="N791">
        <f t="shared" si="60"/>
        <v>90</v>
      </c>
    </row>
    <row r="792" spans="1:14" x14ac:dyDescent="0.3">
      <c r="A792" t="s">
        <v>1715</v>
      </c>
      <c r="B792" t="s">
        <v>1716</v>
      </c>
      <c r="C792" s="1">
        <v>26574</v>
      </c>
      <c r="D792" t="s">
        <v>21</v>
      </c>
      <c r="E792" t="s">
        <v>2144</v>
      </c>
      <c r="F792" t="s">
        <v>295</v>
      </c>
      <c r="G792" t="s">
        <v>1228</v>
      </c>
      <c r="H792" s="1">
        <v>45211</v>
      </c>
      <c r="I792" s="1">
        <v>45216</v>
      </c>
      <c r="J792" s="3">
        <v>1188.72</v>
      </c>
      <c r="K792" s="4">
        <f t="shared" si="61"/>
        <v>5</v>
      </c>
      <c r="L792" t="str">
        <f t="shared" si="58"/>
        <v>Oct</v>
      </c>
      <c r="M792">
        <f t="shared" si="59"/>
        <v>2023</v>
      </c>
      <c r="N792">
        <f t="shared" si="60"/>
        <v>51</v>
      </c>
    </row>
    <row r="793" spans="1:14" x14ac:dyDescent="0.3">
      <c r="A793" t="s">
        <v>1717</v>
      </c>
      <c r="B793" t="s">
        <v>1718</v>
      </c>
      <c r="C793" s="1">
        <v>19434</v>
      </c>
      <c r="D793" t="s">
        <v>15</v>
      </c>
      <c r="E793" t="s">
        <v>936</v>
      </c>
      <c r="F793" t="s">
        <v>937</v>
      </c>
      <c r="G793" t="s">
        <v>938</v>
      </c>
      <c r="H793" s="1">
        <v>44635</v>
      </c>
      <c r="I793" s="1">
        <v>44659</v>
      </c>
      <c r="J793" s="3">
        <v>1186.08</v>
      </c>
      <c r="K793" s="4">
        <f t="shared" si="61"/>
        <v>24</v>
      </c>
      <c r="L793" t="str">
        <f t="shared" si="58"/>
        <v>Mar</v>
      </c>
      <c r="M793">
        <f t="shared" si="59"/>
        <v>2022</v>
      </c>
      <c r="N793">
        <f t="shared" si="60"/>
        <v>68</v>
      </c>
    </row>
    <row r="794" spans="1:14" x14ac:dyDescent="0.3">
      <c r="A794" t="s">
        <v>1719</v>
      </c>
      <c r="B794" t="s">
        <v>1720</v>
      </c>
      <c r="C794" s="1">
        <v>18718</v>
      </c>
      <c r="D794" t="s">
        <v>21</v>
      </c>
      <c r="E794" t="s">
        <v>1147</v>
      </c>
      <c r="F794" t="s">
        <v>1235</v>
      </c>
      <c r="G794" t="s">
        <v>1236</v>
      </c>
      <c r="H794" s="1">
        <v>44900</v>
      </c>
      <c r="I794" s="1">
        <v>44903</v>
      </c>
      <c r="J794" s="3">
        <v>1183.26</v>
      </c>
      <c r="K794" s="4">
        <f t="shared" si="61"/>
        <v>3</v>
      </c>
      <c r="L794" t="str">
        <f t="shared" si="58"/>
        <v>Dec</v>
      </c>
      <c r="M794">
        <f t="shared" si="59"/>
        <v>2022</v>
      </c>
      <c r="N794">
        <f t="shared" si="60"/>
        <v>71</v>
      </c>
    </row>
    <row r="795" spans="1:14" x14ac:dyDescent="0.3">
      <c r="A795" t="s">
        <v>1721</v>
      </c>
      <c r="B795" t="s">
        <v>1722</v>
      </c>
      <c r="C795" s="1">
        <v>16325</v>
      </c>
      <c r="D795" t="s">
        <v>15</v>
      </c>
      <c r="E795" t="s">
        <v>1214</v>
      </c>
      <c r="F795" t="s">
        <v>1215</v>
      </c>
      <c r="G795" t="s">
        <v>1216</v>
      </c>
      <c r="H795" s="1">
        <v>44514</v>
      </c>
      <c r="I795" s="1">
        <v>44518</v>
      </c>
      <c r="J795" s="3">
        <v>1182.3499999999999</v>
      </c>
      <c r="K795" s="4">
        <f t="shared" si="61"/>
        <v>4</v>
      </c>
      <c r="L795" t="str">
        <f t="shared" si="58"/>
        <v>Nov</v>
      </c>
      <c r="M795">
        <f t="shared" si="59"/>
        <v>2021</v>
      </c>
      <c r="N795">
        <f t="shared" si="60"/>
        <v>77</v>
      </c>
    </row>
    <row r="796" spans="1:14" x14ac:dyDescent="0.3">
      <c r="A796" t="s">
        <v>1723</v>
      </c>
      <c r="B796" t="s">
        <v>1724</v>
      </c>
      <c r="C796" s="1">
        <v>18295</v>
      </c>
      <c r="D796" t="s">
        <v>15</v>
      </c>
      <c r="E796" t="s">
        <v>1132</v>
      </c>
      <c r="F796" t="s">
        <v>1187</v>
      </c>
      <c r="G796" t="s">
        <v>1184</v>
      </c>
      <c r="H796" s="1">
        <v>44454</v>
      </c>
      <c r="I796" s="1">
        <v>44456</v>
      </c>
      <c r="J796" s="3">
        <v>1178.8699999999999</v>
      </c>
      <c r="K796" s="4">
        <f t="shared" si="61"/>
        <v>2</v>
      </c>
      <c r="L796" t="str">
        <f t="shared" si="58"/>
        <v>Sep</v>
      </c>
      <c r="M796">
        <f t="shared" si="59"/>
        <v>2021</v>
      </c>
      <c r="N796">
        <f t="shared" si="60"/>
        <v>71</v>
      </c>
    </row>
    <row r="797" spans="1:14" x14ac:dyDescent="0.3">
      <c r="A797" t="s">
        <v>1725</v>
      </c>
      <c r="B797" t="s">
        <v>1726</v>
      </c>
      <c r="C797" s="1">
        <v>23143</v>
      </c>
      <c r="D797" t="s">
        <v>21</v>
      </c>
      <c r="E797" t="s">
        <v>1171</v>
      </c>
      <c r="F797" t="s">
        <v>1128</v>
      </c>
      <c r="G797" t="s">
        <v>1179</v>
      </c>
      <c r="H797" s="1">
        <v>45463</v>
      </c>
      <c r="I797" s="1">
        <v>45474</v>
      </c>
      <c r="J797" s="3">
        <v>1172.72</v>
      </c>
      <c r="K797" s="4">
        <f xml:space="preserve"> I797-H797</f>
        <v>11</v>
      </c>
      <c r="L797" t="str">
        <f t="shared" si="58"/>
        <v>Jun</v>
      </c>
      <c r="M797">
        <f t="shared" si="59"/>
        <v>2024</v>
      </c>
      <c r="N797">
        <f t="shared" si="60"/>
        <v>61</v>
      </c>
    </row>
    <row r="798" spans="1:14" x14ac:dyDescent="0.3">
      <c r="A798" t="s">
        <v>1727</v>
      </c>
      <c r="B798" t="s">
        <v>1728</v>
      </c>
      <c r="C798" s="1">
        <v>24050</v>
      </c>
      <c r="D798" t="s">
        <v>15</v>
      </c>
      <c r="E798" t="s">
        <v>1127</v>
      </c>
      <c r="F798" t="s">
        <v>91</v>
      </c>
      <c r="G798" t="s">
        <v>1154</v>
      </c>
      <c r="H798" s="1">
        <v>45101</v>
      </c>
      <c r="I798" s="1">
        <v>45127</v>
      </c>
      <c r="J798" s="3">
        <v>1171.6500000000001</v>
      </c>
      <c r="K798" s="4">
        <f t="shared" ref="K798:K861" si="62" xml:space="preserve"> I798-H798</f>
        <v>26</v>
      </c>
      <c r="L798" t="str">
        <f t="shared" si="58"/>
        <v>Jun</v>
      </c>
      <c r="M798">
        <f t="shared" si="59"/>
        <v>2023</v>
      </c>
      <c r="N798">
        <f t="shared" si="60"/>
        <v>57</v>
      </c>
    </row>
    <row r="799" spans="1:14" x14ac:dyDescent="0.3">
      <c r="A799" t="s">
        <v>1729</v>
      </c>
      <c r="B799" t="s">
        <v>1730</v>
      </c>
      <c r="C799" s="1">
        <v>42150</v>
      </c>
      <c r="D799" t="s">
        <v>21</v>
      </c>
      <c r="E799" t="s">
        <v>952</v>
      </c>
      <c r="F799" t="s">
        <v>953</v>
      </c>
      <c r="G799" t="s">
        <v>969</v>
      </c>
      <c r="H799" s="1">
        <v>45025</v>
      </c>
      <c r="I799" s="1">
        <v>45052</v>
      </c>
      <c r="J799" s="3">
        <v>1166.49</v>
      </c>
      <c r="K799" s="4">
        <f t="shared" si="62"/>
        <v>27</v>
      </c>
      <c r="L799" t="str">
        <f t="shared" si="58"/>
        <v>Apr</v>
      </c>
      <c r="M799">
        <f t="shared" si="59"/>
        <v>2023</v>
      </c>
      <c r="N799">
        <f t="shared" si="60"/>
        <v>7</v>
      </c>
    </row>
    <row r="800" spans="1:14" x14ac:dyDescent="0.3">
      <c r="A800" t="s">
        <v>1731</v>
      </c>
      <c r="B800" t="s">
        <v>1732</v>
      </c>
      <c r="C800" s="1">
        <v>13921</v>
      </c>
      <c r="D800" t="s">
        <v>15</v>
      </c>
      <c r="E800" t="s">
        <v>952</v>
      </c>
      <c r="F800" t="s">
        <v>953</v>
      </c>
      <c r="G800" t="s">
        <v>969</v>
      </c>
      <c r="H800" s="1">
        <v>44857</v>
      </c>
      <c r="I800" s="1">
        <v>44871</v>
      </c>
      <c r="J800" s="3">
        <v>1163.02</v>
      </c>
      <c r="K800" s="4">
        <f t="shared" si="62"/>
        <v>14</v>
      </c>
      <c r="L800" t="str">
        <f t="shared" si="58"/>
        <v>Oct</v>
      </c>
      <c r="M800">
        <f t="shared" si="59"/>
        <v>2022</v>
      </c>
      <c r="N800">
        <f t="shared" si="60"/>
        <v>84</v>
      </c>
    </row>
    <row r="801" spans="1:14" x14ac:dyDescent="0.3">
      <c r="A801" t="s">
        <v>1733</v>
      </c>
      <c r="B801" t="s">
        <v>1734</v>
      </c>
      <c r="C801" s="1">
        <v>27774</v>
      </c>
      <c r="D801" t="s">
        <v>21</v>
      </c>
      <c r="E801" t="s">
        <v>1132</v>
      </c>
      <c r="F801" t="s">
        <v>295</v>
      </c>
      <c r="G801" t="s">
        <v>1188</v>
      </c>
      <c r="H801" s="1">
        <v>45266</v>
      </c>
      <c r="I801" s="1">
        <v>45269</v>
      </c>
      <c r="J801" s="3">
        <v>1160.05</v>
      </c>
      <c r="K801" s="4">
        <f t="shared" si="62"/>
        <v>3</v>
      </c>
      <c r="L801" t="str">
        <f t="shared" si="58"/>
        <v>Dec</v>
      </c>
      <c r="M801">
        <f t="shared" si="59"/>
        <v>2023</v>
      </c>
      <c r="N801">
        <f t="shared" si="60"/>
        <v>47</v>
      </c>
    </row>
    <row r="802" spans="1:14" x14ac:dyDescent="0.3">
      <c r="A802" t="s">
        <v>1735</v>
      </c>
      <c r="B802" t="s">
        <v>1736</v>
      </c>
      <c r="C802" s="1">
        <v>13108</v>
      </c>
      <c r="D802" t="s">
        <v>21</v>
      </c>
      <c r="E802" t="s">
        <v>1161</v>
      </c>
      <c r="F802" t="s">
        <v>1162</v>
      </c>
      <c r="G802" t="s">
        <v>957</v>
      </c>
      <c r="H802" s="1">
        <v>44937</v>
      </c>
      <c r="I802" s="1">
        <v>44942</v>
      </c>
      <c r="J802" s="3">
        <v>1152.25</v>
      </c>
      <c r="K802" s="4">
        <f t="shared" si="62"/>
        <v>5</v>
      </c>
      <c r="L802" t="str">
        <f t="shared" si="58"/>
        <v>Jan</v>
      </c>
      <c r="M802">
        <f t="shared" si="59"/>
        <v>2023</v>
      </c>
      <c r="N802">
        <f t="shared" si="60"/>
        <v>87</v>
      </c>
    </row>
    <row r="803" spans="1:14" x14ac:dyDescent="0.3">
      <c r="A803" t="s">
        <v>1737</v>
      </c>
      <c r="B803" t="s">
        <v>1738</v>
      </c>
      <c r="C803" s="1">
        <v>13422</v>
      </c>
      <c r="D803" t="s">
        <v>21</v>
      </c>
      <c r="E803" t="s">
        <v>936</v>
      </c>
      <c r="F803" t="s">
        <v>286</v>
      </c>
      <c r="G803" t="s">
        <v>976</v>
      </c>
      <c r="H803" s="1">
        <v>45224</v>
      </c>
      <c r="I803" s="1">
        <v>45246</v>
      </c>
      <c r="J803" s="3">
        <v>1115.04</v>
      </c>
      <c r="K803" s="4">
        <f t="shared" si="62"/>
        <v>22</v>
      </c>
      <c r="L803" t="str">
        <f t="shared" si="58"/>
        <v>Oct</v>
      </c>
      <c r="M803">
        <f t="shared" si="59"/>
        <v>2023</v>
      </c>
      <c r="N803">
        <f t="shared" si="60"/>
        <v>87</v>
      </c>
    </row>
    <row r="804" spans="1:14" x14ac:dyDescent="0.3">
      <c r="A804" t="s">
        <v>1739</v>
      </c>
      <c r="B804" t="s">
        <v>1740</v>
      </c>
      <c r="C804" s="1">
        <v>29817</v>
      </c>
      <c r="D804" t="s">
        <v>21</v>
      </c>
      <c r="E804" t="s">
        <v>2144</v>
      </c>
      <c r="F804" t="s">
        <v>295</v>
      </c>
      <c r="G804" t="s">
        <v>1228</v>
      </c>
      <c r="H804" s="1">
        <v>44491</v>
      </c>
      <c r="I804" s="1">
        <v>44507</v>
      </c>
      <c r="J804" s="3">
        <v>1109.3</v>
      </c>
      <c r="K804" s="4">
        <f t="shared" si="62"/>
        <v>16</v>
      </c>
      <c r="L804" t="str">
        <f t="shared" si="58"/>
        <v>Oct</v>
      </c>
      <c r="M804">
        <f t="shared" si="59"/>
        <v>2021</v>
      </c>
      <c r="N804">
        <f t="shared" si="60"/>
        <v>40</v>
      </c>
    </row>
    <row r="805" spans="1:14" x14ac:dyDescent="0.3">
      <c r="A805" t="s">
        <v>1741</v>
      </c>
      <c r="B805" t="s">
        <v>1742</v>
      </c>
      <c r="C805" s="1">
        <v>29562</v>
      </c>
      <c r="D805" t="s">
        <v>21</v>
      </c>
      <c r="E805" t="s">
        <v>1161</v>
      </c>
      <c r="F805" t="s">
        <v>683</v>
      </c>
      <c r="G805" t="s">
        <v>1248</v>
      </c>
      <c r="H805" s="1">
        <v>44771</v>
      </c>
      <c r="I805" s="1">
        <v>44781</v>
      </c>
      <c r="J805" s="3">
        <v>1081.08</v>
      </c>
      <c r="K805" s="4">
        <f t="shared" si="62"/>
        <v>10</v>
      </c>
      <c r="L805" t="str">
        <f t="shared" si="58"/>
        <v>Jul</v>
      </c>
      <c r="M805">
        <f t="shared" si="59"/>
        <v>2022</v>
      </c>
      <c r="N805">
        <f t="shared" si="60"/>
        <v>41</v>
      </c>
    </row>
    <row r="806" spans="1:14" x14ac:dyDescent="0.3">
      <c r="A806" t="s">
        <v>1743</v>
      </c>
      <c r="B806" t="s">
        <v>1744</v>
      </c>
      <c r="C806" s="1">
        <v>17371</v>
      </c>
      <c r="D806" t="s">
        <v>15</v>
      </c>
      <c r="E806" t="s">
        <v>1147</v>
      </c>
      <c r="F806" t="s">
        <v>1128</v>
      </c>
      <c r="G806" t="s">
        <v>1149</v>
      </c>
      <c r="H806" s="1">
        <v>44541</v>
      </c>
      <c r="I806" s="1">
        <v>44553</v>
      </c>
      <c r="J806" s="3">
        <v>1080.8699999999999</v>
      </c>
      <c r="K806" s="4">
        <f t="shared" si="62"/>
        <v>12</v>
      </c>
      <c r="L806" t="str">
        <f t="shared" si="58"/>
        <v>Dec</v>
      </c>
      <c r="M806">
        <f t="shared" si="59"/>
        <v>2021</v>
      </c>
      <c r="N806">
        <f t="shared" si="60"/>
        <v>74</v>
      </c>
    </row>
    <row r="807" spans="1:14" x14ac:dyDescent="0.3">
      <c r="A807" t="s">
        <v>1745</v>
      </c>
      <c r="B807" t="s">
        <v>1746</v>
      </c>
      <c r="C807" s="1">
        <v>26122</v>
      </c>
      <c r="D807" t="s">
        <v>15</v>
      </c>
      <c r="E807" t="s">
        <v>1161</v>
      </c>
      <c r="F807" t="s">
        <v>1162</v>
      </c>
      <c r="G807" t="s">
        <v>1163</v>
      </c>
      <c r="H807" s="1">
        <v>44808</v>
      </c>
      <c r="I807" s="1">
        <v>44836</v>
      </c>
      <c r="J807" s="3">
        <v>1079.6400000000001</v>
      </c>
      <c r="K807" s="4">
        <f t="shared" si="62"/>
        <v>28</v>
      </c>
      <c r="L807" t="str">
        <f t="shared" si="58"/>
        <v>Sep</v>
      </c>
      <c r="M807">
        <f t="shared" si="59"/>
        <v>2022</v>
      </c>
      <c r="N807">
        <f t="shared" si="60"/>
        <v>51</v>
      </c>
    </row>
    <row r="808" spans="1:14" x14ac:dyDescent="0.3">
      <c r="A808" t="s">
        <v>1747</v>
      </c>
      <c r="B808" t="s">
        <v>1748</v>
      </c>
      <c r="C808" s="1">
        <v>24997</v>
      </c>
      <c r="D808" t="s">
        <v>21</v>
      </c>
      <c r="E808" t="s">
        <v>1171</v>
      </c>
      <c r="F808" t="s">
        <v>1128</v>
      </c>
      <c r="G808" t="s">
        <v>1172</v>
      </c>
      <c r="H808" s="1">
        <v>45433</v>
      </c>
      <c r="I808" s="1">
        <v>45435</v>
      </c>
      <c r="J808" s="3">
        <v>1079.22</v>
      </c>
      <c r="K808" s="4">
        <f t="shared" si="62"/>
        <v>2</v>
      </c>
      <c r="L808" t="str">
        <f t="shared" si="58"/>
        <v>May</v>
      </c>
      <c r="M808">
        <f t="shared" si="59"/>
        <v>2024</v>
      </c>
      <c r="N808">
        <f t="shared" si="60"/>
        <v>55</v>
      </c>
    </row>
    <row r="809" spans="1:14" x14ac:dyDescent="0.3">
      <c r="A809" t="s">
        <v>1749</v>
      </c>
      <c r="B809" t="s">
        <v>1750</v>
      </c>
      <c r="C809" s="1">
        <v>31295</v>
      </c>
      <c r="D809" t="s">
        <v>21</v>
      </c>
      <c r="E809" t="s">
        <v>2144</v>
      </c>
      <c r="F809" t="s">
        <v>295</v>
      </c>
      <c r="G809" t="s">
        <v>1228</v>
      </c>
      <c r="H809" s="1">
        <v>44419</v>
      </c>
      <c r="I809" s="1">
        <v>44433</v>
      </c>
      <c r="J809" s="3">
        <v>1072.44</v>
      </c>
      <c r="K809" s="4">
        <f t="shared" si="62"/>
        <v>14</v>
      </c>
      <c r="L809" t="str">
        <f t="shared" ref="L809:L872" si="63">TEXT(H809,"mmm")</f>
        <v>Aug</v>
      </c>
      <c r="M809">
        <f t="shared" si="59"/>
        <v>2021</v>
      </c>
      <c r="N809">
        <f t="shared" si="60"/>
        <v>35</v>
      </c>
    </row>
    <row r="810" spans="1:14" x14ac:dyDescent="0.3">
      <c r="A810" t="s">
        <v>1751</v>
      </c>
      <c r="B810" t="s">
        <v>1752</v>
      </c>
      <c r="C810" s="1">
        <v>31314</v>
      </c>
      <c r="D810" t="s">
        <v>15</v>
      </c>
      <c r="E810" t="s">
        <v>1138</v>
      </c>
      <c r="F810" t="s">
        <v>1231</v>
      </c>
      <c r="G810" t="s">
        <v>1140</v>
      </c>
      <c r="H810" s="1">
        <v>45431</v>
      </c>
      <c r="I810" s="1">
        <v>45440</v>
      </c>
      <c r="J810" s="3">
        <v>1072.3800000000001</v>
      </c>
      <c r="K810" s="4">
        <f t="shared" si="62"/>
        <v>9</v>
      </c>
      <c r="L810" t="str">
        <f t="shared" si="63"/>
        <v>May</v>
      </c>
      <c r="M810">
        <f t="shared" si="59"/>
        <v>2024</v>
      </c>
      <c r="N810">
        <f t="shared" si="60"/>
        <v>38</v>
      </c>
    </row>
    <row r="811" spans="1:14" x14ac:dyDescent="0.3">
      <c r="A811" t="s">
        <v>1753</v>
      </c>
      <c r="B811" t="s">
        <v>1754</v>
      </c>
      <c r="C811" s="1">
        <v>33203</v>
      </c>
      <c r="D811" t="s">
        <v>15</v>
      </c>
      <c r="E811" t="s">
        <v>1171</v>
      </c>
      <c r="F811" t="s">
        <v>295</v>
      </c>
      <c r="G811" t="s">
        <v>1172</v>
      </c>
      <c r="H811" s="1">
        <v>45415</v>
      </c>
      <c r="I811" s="1">
        <v>45428</v>
      </c>
      <c r="J811" s="3">
        <v>1072.33</v>
      </c>
      <c r="K811" s="4">
        <f t="shared" si="62"/>
        <v>13</v>
      </c>
      <c r="L811" t="str">
        <f t="shared" si="63"/>
        <v>May</v>
      </c>
      <c r="M811">
        <f t="shared" si="59"/>
        <v>2024</v>
      </c>
      <c r="N811">
        <f t="shared" si="60"/>
        <v>33</v>
      </c>
    </row>
    <row r="812" spans="1:14" x14ac:dyDescent="0.3">
      <c r="A812" t="s">
        <v>1755</v>
      </c>
      <c r="B812" t="s">
        <v>1756</v>
      </c>
      <c r="C812" s="1">
        <v>12631</v>
      </c>
      <c r="D812" t="s">
        <v>15</v>
      </c>
      <c r="E812" t="s">
        <v>1214</v>
      </c>
      <c r="F812" t="s">
        <v>1215</v>
      </c>
      <c r="G812" t="s">
        <v>1216</v>
      </c>
      <c r="H812" s="1">
        <v>44414</v>
      </c>
      <c r="I812" s="1">
        <v>44439</v>
      </c>
      <c r="J812" s="3">
        <v>1070.3900000000001</v>
      </c>
      <c r="K812" s="4">
        <f t="shared" si="62"/>
        <v>25</v>
      </c>
      <c r="L812" t="str">
        <f t="shared" si="63"/>
        <v>Aug</v>
      </c>
      <c r="M812">
        <f t="shared" si="59"/>
        <v>2021</v>
      </c>
      <c r="N812">
        <f t="shared" si="60"/>
        <v>87</v>
      </c>
    </row>
    <row r="813" spans="1:14" x14ac:dyDescent="0.3">
      <c r="A813" t="s">
        <v>1757</v>
      </c>
      <c r="B813" t="s">
        <v>1758</v>
      </c>
      <c r="C813" s="1">
        <v>39435</v>
      </c>
      <c r="D813" t="s">
        <v>21</v>
      </c>
      <c r="E813" t="s">
        <v>922</v>
      </c>
      <c r="F813" t="s">
        <v>683</v>
      </c>
      <c r="G813" t="s">
        <v>930</v>
      </c>
      <c r="H813" s="1">
        <v>45365</v>
      </c>
      <c r="I813" s="1">
        <v>45393</v>
      </c>
      <c r="J813" s="3">
        <v>1055.42</v>
      </c>
      <c r="K813" s="4">
        <f t="shared" si="62"/>
        <v>28</v>
      </c>
      <c r="L813" t="str">
        <f t="shared" si="63"/>
        <v>Mar</v>
      </c>
      <c r="M813">
        <f t="shared" si="59"/>
        <v>2024</v>
      </c>
      <c r="N813">
        <f t="shared" si="60"/>
        <v>16</v>
      </c>
    </row>
    <row r="814" spans="1:14" x14ac:dyDescent="0.3">
      <c r="A814" t="s">
        <v>1759</v>
      </c>
      <c r="B814" t="s">
        <v>1760</v>
      </c>
      <c r="C814" s="1">
        <v>39304</v>
      </c>
      <c r="D814" t="s">
        <v>21</v>
      </c>
      <c r="E814" t="s">
        <v>1161</v>
      </c>
      <c r="F814" t="s">
        <v>683</v>
      </c>
      <c r="G814" t="s">
        <v>1248</v>
      </c>
      <c r="H814" s="1">
        <v>44930</v>
      </c>
      <c r="I814" s="1">
        <v>44947</v>
      </c>
      <c r="J814" s="3">
        <v>1050.8499999999999</v>
      </c>
      <c r="K814" s="4">
        <f t="shared" si="62"/>
        <v>17</v>
      </c>
      <c r="L814" t="str">
        <f t="shared" si="63"/>
        <v>Jan</v>
      </c>
      <c r="M814">
        <f t="shared" si="59"/>
        <v>2023</v>
      </c>
      <c r="N814">
        <f t="shared" si="60"/>
        <v>15</v>
      </c>
    </row>
    <row r="815" spans="1:14" x14ac:dyDescent="0.3">
      <c r="A815" t="s">
        <v>1761</v>
      </c>
      <c r="B815" t="s">
        <v>30</v>
      </c>
      <c r="C815" s="1">
        <v>17852</v>
      </c>
      <c r="D815" t="s">
        <v>21</v>
      </c>
      <c r="E815" t="s">
        <v>1171</v>
      </c>
      <c r="F815" t="s">
        <v>295</v>
      </c>
      <c r="G815" t="s">
        <v>1179</v>
      </c>
      <c r="H815" s="1">
        <v>44475</v>
      </c>
      <c r="I815" s="1">
        <v>44503</v>
      </c>
      <c r="J815" s="3">
        <v>1050.25</v>
      </c>
      <c r="K815" s="4">
        <f t="shared" si="62"/>
        <v>28</v>
      </c>
      <c r="L815" t="str">
        <f t="shared" si="63"/>
        <v>Oct</v>
      </c>
      <c r="M815">
        <f t="shared" si="59"/>
        <v>2021</v>
      </c>
      <c r="N815">
        <f t="shared" si="60"/>
        <v>72</v>
      </c>
    </row>
    <row r="816" spans="1:14" x14ac:dyDescent="0.3">
      <c r="A816" t="s">
        <v>1762</v>
      </c>
      <c r="B816" t="s">
        <v>1763</v>
      </c>
      <c r="C816" s="1">
        <v>17808</v>
      </c>
      <c r="D816" t="s">
        <v>15</v>
      </c>
      <c r="E816" t="s">
        <v>1127</v>
      </c>
      <c r="F816" t="s">
        <v>1128</v>
      </c>
      <c r="G816" t="s">
        <v>1276</v>
      </c>
      <c r="H816" s="1">
        <v>45325</v>
      </c>
      <c r="I816" s="1">
        <v>45344</v>
      </c>
      <c r="J816" s="3">
        <v>1044.56</v>
      </c>
      <c r="K816" s="4">
        <f t="shared" si="62"/>
        <v>19</v>
      </c>
      <c r="L816" t="str">
        <f t="shared" si="63"/>
        <v>Feb</v>
      </c>
      <c r="M816">
        <f t="shared" si="59"/>
        <v>2024</v>
      </c>
      <c r="N816">
        <f t="shared" si="60"/>
        <v>75</v>
      </c>
    </row>
    <row r="817" spans="1:14" x14ac:dyDescent="0.3">
      <c r="A817" t="s">
        <v>1764</v>
      </c>
      <c r="B817" t="s">
        <v>1765</v>
      </c>
      <c r="C817" s="1">
        <v>40174</v>
      </c>
      <c r="D817" t="s">
        <v>21</v>
      </c>
      <c r="E817" t="s">
        <v>1147</v>
      </c>
      <c r="F817" t="s">
        <v>1235</v>
      </c>
      <c r="G817" t="s">
        <v>1140</v>
      </c>
      <c r="H817" s="1">
        <v>44454</v>
      </c>
      <c r="I817" s="1">
        <v>44475</v>
      </c>
      <c r="J817" s="3">
        <v>1034.05</v>
      </c>
      <c r="K817" s="4">
        <f t="shared" si="62"/>
        <v>21</v>
      </c>
      <c r="L817" t="str">
        <f t="shared" si="63"/>
        <v>Sep</v>
      </c>
      <c r="M817">
        <f t="shared" si="59"/>
        <v>2021</v>
      </c>
      <c r="N817">
        <f t="shared" si="60"/>
        <v>11</v>
      </c>
    </row>
    <row r="818" spans="1:14" x14ac:dyDescent="0.3">
      <c r="A818" t="s">
        <v>1766</v>
      </c>
      <c r="B818" t="s">
        <v>1767</v>
      </c>
      <c r="C818" s="1">
        <v>27695</v>
      </c>
      <c r="D818" t="s">
        <v>15</v>
      </c>
      <c r="E818" t="s">
        <v>1147</v>
      </c>
      <c r="F818" t="s">
        <v>1128</v>
      </c>
      <c r="G818" t="s">
        <v>1236</v>
      </c>
      <c r="H818" s="1">
        <v>45236</v>
      </c>
      <c r="I818" s="1">
        <v>45255</v>
      </c>
      <c r="J818" s="3">
        <v>1017.09</v>
      </c>
      <c r="K818" s="4">
        <f t="shared" si="62"/>
        <v>19</v>
      </c>
      <c r="L818" t="str">
        <f t="shared" si="63"/>
        <v>Nov</v>
      </c>
      <c r="M818">
        <f t="shared" si="59"/>
        <v>2023</v>
      </c>
      <c r="N818">
        <f t="shared" si="60"/>
        <v>48</v>
      </c>
    </row>
    <row r="819" spans="1:14" x14ac:dyDescent="0.3">
      <c r="A819" t="s">
        <v>1768</v>
      </c>
      <c r="B819" t="s">
        <v>1769</v>
      </c>
      <c r="C819" s="1">
        <v>23004</v>
      </c>
      <c r="D819" t="s">
        <v>15</v>
      </c>
      <c r="E819" t="s">
        <v>1147</v>
      </c>
      <c r="F819" t="s">
        <v>1128</v>
      </c>
      <c r="G819" t="s">
        <v>1140</v>
      </c>
      <c r="H819" s="1">
        <v>44863</v>
      </c>
      <c r="I819" s="1">
        <v>44891</v>
      </c>
      <c r="J819" s="3">
        <v>1012.58</v>
      </c>
      <c r="K819" s="4">
        <f t="shared" si="62"/>
        <v>28</v>
      </c>
      <c r="L819" t="str">
        <f t="shared" si="63"/>
        <v>Oct</v>
      </c>
      <c r="M819">
        <f t="shared" si="59"/>
        <v>2022</v>
      </c>
      <c r="N819">
        <f t="shared" si="60"/>
        <v>59</v>
      </c>
    </row>
    <row r="820" spans="1:14" x14ac:dyDescent="0.3">
      <c r="A820" t="s">
        <v>1770</v>
      </c>
      <c r="B820" t="s">
        <v>1771</v>
      </c>
      <c r="C820" s="1">
        <v>36813</v>
      </c>
      <c r="D820" t="s">
        <v>15</v>
      </c>
      <c r="E820" t="s">
        <v>1772</v>
      </c>
      <c r="F820" t="s">
        <v>1773</v>
      </c>
      <c r="G820" t="s">
        <v>1774</v>
      </c>
      <c r="H820" s="1">
        <v>45422</v>
      </c>
      <c r="I820" s="1">
        <v>45445</v>
      </c>
      <c r="J820" s="3">
        <v>996.39</v>
      </c>
      <c r="K820" s="4">
        <f t="shared" si="62"/>
        <v>23</v>
      </c>
      <c r="L820" t="str">
        <f t="shared" si="63"/>
        <v>May</v>
      </c>
      <c r="M820">
        <f t="shared" si="59"/>
        <v>2024</v>
      </c>
      <c r="N820">
        <f t="shared" si="60"/>
        <v>23</v>
      </c>
    </row>
    <row r="821" spans="1:14" x14ac:dyDescent="0.3">
      <c r="A821" t="s">
        <v>1775</v>
      </c>
      <c r="B821" t="s">
        <v>1776</v>
      </c>
      <c r="C821" s="1">
        <v>29446</v>
      </c>
      <c r="D821" t="s">
        <v>15</v>
      </c>
      <c r="E821" t="s">
        <v>1777</v>
      </c>
      <c r="F821" t="s">
        <v>1778</v>
      </c>
      <c r="G821" t="s">
        <v>1779</v>
      </c>
      <c r="H821" s="1">
        <v>45377</v>
      </c>
      <c r="I821" s="1">
        <v>45400</v>
      </c>
      <c r="J821" s="3">
        <v>989.71</v>
      </c>
      <c r="K821" s="4">
        <f t="shared" si="62"/>
        <v>23</v>
      </c>
      <c r="L821" t="str">
        <f t="shared" si="63"/>
        <v>Mar</v>
      </c>
      <c r="M821">
        <f t="shared" si="59"/>
        <v>2024</v>
      </c>
      <c r="N821">
        <f t="shared" si="60"/>
        <v>43</v>
      </c>
    </row>
    <row r="822" spans="1:14" x14ac:dyDescent="0.3">
      <c r="A822" t="s">
        <v>1780</v>
      </c>
      <c r="B822" t="s">
        <v>1781</v>
      </c>
      <c r="C822" s="1">
        <v>12078</v>
      </c>
      <c r="D822" t="s">
        <v>15</v>
      </c>
      <c r="E822" t="s">
        <v>1777</v>
      </c>
      <c r="F822" t="s">
        <v>1778</v>
      </c>
      <c r="G822" t="s">
        <v>1782</v>
      </c>
      <c r="H822" s="1">
        <v>45099</v>
      </c>
      <c r="I822" s="1">
        <v>45106</v>
      </c>
      <c r="J822" s="3">
        <v>986.68</v>
      </c>
      <c r="K822" s="4">
        <f t="shared" si="62"/>
        <v>7</v>
      </c>
      <c r="L822" t="str">
        <f t="shared" si="63"/>
        <v>Jun</v>
      </c>
      <c r="M822">
        <f t="shared" ref="M822:M885" si="64">YEAR(H822)</f>
        <v>2023</v>
      </c>
      <c r="N822">
        <f t="shared" ref="N822:N885" si="65">DATEDIF(C822, H822, "Y")</f>
        <v>90</v>
      </c>
    </row>
    <row r="823" spans="1:14" x14ac:dyDescent="0.3">
      <c r="A823" t="s">
        <v>1783</v>
      </c>
      <c r="B823" t="s">
        <v>1784</v>
      </c>
      <c r="C823" s="1">
        <v>10483</v>
      </c>
      <c r="D823" t="s">
        <v>21</v>
      </c>
      <c r="E823" t="s">
        <v>1147</v>
      </c>
      <c r="F823" t="s">
        <v>1339</v>
      </c>
      <c r="G823" t="s">
        <v>1140</v>
      </c>
      <c r="H823" s="1">
        <v>44851</v>
      </c>
      <c r="I823" s="1">
        <v>44864</v>
      </c>
      <c r="J823" s="3">
        <v>984.19</v>
      </c>
      <c r="K823" s="4">
        <f t="shared" si="62"/>
        <v>13</v>
      </c>
      <c r="L823" t="str">
        <f t="shared" si="63"/>
        <v>Oct</v>
      </c>
      <c r="M823">
        <f t="shared" si="64"/>
        <v>2022</v>
      </c>
      <c r="N823">
        <f t="shared" si="65"/>
        <v>94</v>
      </c>
    </row>
    <row r="824" spans="1:14" x14ac:dyDescent="0.3">
      <c r="A824" t="s">
        <v>1785</v>
      </c>
      <c r="B824" t="s">
        <v>1786</v>
      </c>
      <c r="C824" s="1">
        <v>43785</v>
      </c>
      <c r="D824" t="s">
        <v>21</v>
      </c>
      <c r="E824" t="s">
        <v>1127</v>
      </c>
      <c r="F824" t="s">
        <v>1168</v>
      </c>
      <c r="G824" t="s">
        <v>1129</v>
      </c>
      <c r="H824" s="1">
        <v>44598</v>
      </c>
      <c r="I824" s="1">
        <v>44601</v>
      </c>
      <c r="J824" s="3">
        <v>979.64</v>
      </c>
      <c r="K824" s="4">
        <f t="shared" si="62"/>
        <v>3</v>
      </c>
      <c r="L824" t="str">
        <f t="shared" si="63"/>
        <v>Feb</v>
      </c>
      <c r="M824">
        <f t="shared" si="64"/>
        <v>2022</v>
      </c>
      <c r="N824">
        <f t="shared" si="65"/>
        <v>2</v>
      </c>
    </row>
    <row r="825" spans="1:14" x14ac:dyDescent="0.3">
      <c r="A825" t="s">
        <v>1787</v>
      </c>
      <c r="B825" t="s">
        <v>1788</v>
      </c>
      <c r="C825" s="1">
        <v>12192</v>
      </c>
      <c r="D825" t="s">
        <v>21</v>
      </c>
      <c r="E825" t="s">
        <v>1777</v>
      </c>
      <c r="F825" t="s">
        <v>1778</v>
      </c>
      <c r="G825" t="s">
        <v>1782</v>
      </c>
      <c r="H825" s="1">
        <v>44947</v>
      </c>
      <c r="I825" s="1">
        <v>44969</v>
      </c>
      <c r="J825" s="3">
        <v>976.6</v>
      </c>
      <c r="K825" s="4">
        <f t="shared" si="62"/>
        <v>22</v>
      </c>
      <c r="L825" t="str">
        <f t="shared" si="63"/>
        <v>Jan</v>
      </c>
      <c r="M825">
        <f t="shared" si="64"/>
        <v>2023</v>
      </c>
      <c r="N825">
        <f t="shared" si="65"/>
        <v>89</v>
      </c>
    </row>
    <row r="826" spans="1:14" x14ac:dyDescent="0.3">
      <c r="A826" t="s">
        <v>1789</v>
      </c>
      <c r="B826" t="s">
        <v>1790</v>
      </c>
      <c r="C826" s="1">
        <v>41112</v>
      </c>
      <c r="D826" t="s">
        <v>21</v>
      </c>
      <c r="E826" t="s">
        <v>1127</v>
      </c>
      <c r="F826" t="s">
        <v>91</v>
      </c>
      <c r="G826" t="s">
        <v>1129</v>
      </c>
      <c r="H826" s="1">
        <v>44536</v>
      </c>
      <c r="I826" s="1">
        <v>44562</v>
      </c>
      <c r="J826" s="3">
        <v>973.68</v>
      </c>
      <c r="K826" s="4">
        <f t="shared" si="62"/>
        <v>26</v>
      </c>
      <c r="L826" t="str">
        <f t="shared" si="63"/>
        <v>Dec</v>
      </c>
      <c r="M826">
        <f t="shared" si="64"/>
        <v>2021</v>
      </c>
      <c r="N826">
        <f t="shared" si="65"/>
        <v>9</v>
      </c>
    </row>
    <row r="827" spans="1:14" x14ac:dyDescent="0.3">
      <c r="A827" t="s">
        <v>1791</v>
      </c>
      <c r="B827" t="s">
        <v>1792</v>
      </c>
      <c r="C827" s="1">
        <v>34390</v>
      </c>
      <c r="D827" t="s">
        <v>15</v>
      </c>
      <c r="E827" t="s">
        <v>1777</v>
      </c>
      <c r="F827" t="s">
        <v>1778</v>
      </c>
      <c r="G827" t="s">
        <v>1779</v>
      </c>
      <c r="H827" s="1">
        <v>45010</v>
      </c>
      <c r="I827" s="1">
        <v>45034</v>
      </c>
      <c r="J827" s="3">
        <v>973.02</v>
      </c>
      <c r="K827" s="4">
        <f t="shared" si="62"/>
        <v>24</v>
      </c>
      <c r="L827" t="str">
        <f t="shared" si="63"/>
        <v>Mar</v>
      </c>
      <c r="M827">
        <f t="shared" si="64"/>
        <v>2023</v>
      </c>
      <c r="N827">
        <f t="shared" si="65"/>
        <v>29</v>
      </c>
    </row>
    <row r="828" spans="1:14" x14ac:dyDescent="0.3">
      <c r="A828" t="s">
        <v>1793</v>
      </c>
      <c r="B828" t="s">
        <v>1794</v>
      </c>
      <c r="C828" s="1">
        <v>19350</v>
      </c>
      <c r="D828" t="s">
        <v>15</v>
      </c>
      <c r="E828" t="s">
        <v>1171</v>
      </c>
      <c r="F828" t="s">
        <v>1128</v>
      </c>
      <c r="G828" t="s">
        <v>1179</v>
      </c>
      <c r="H828" s="1">
        <v>44787</v>
      </c>
      <c r="I828" s="1">
        <v>44806</v>
      </c>
      <c r="J828" s="3">
        <v>970.02</v>
      </c>
      <c r="K828" s="4">
        <f t="shared" si="62"/>
        <v>19</v>
      </c>
      <c r="L828" t="str">
        <f t="shared" si="63"/>
        <v>Aug</v>
      </c>
      <c r="M828">
        <f t="shared" si="64"/>
        <v>2022</v>
      </c>
      <c r="N828">
        <f t="shared" si="65"/>
        <v>69</v>
      </c>
    </row>
    <row r="829" spans="1:14" x14ac:dyDescent="0.3">
      <c r="A829" t="s">
        <v>1795</v>
      </c>
      <c r="B829" t="s">
        <v>1796</v>
      </c>
      <c r="C829" s="1">
        <v>38456</v>
      </c>
      <c r="D829" t="s">
        <v>21</v>
      </c>
      <c r="E829" t="s">
        <v>1214</v>
      </c>
      <c r="F829" t="s">
        <v>1215</v>
      </c>
      <c r="G829" t="s">
        <v>1216</v>
      </c>
      <c r="H829" s="1">
        <v>45306</v>
      </c>
      <c r="I829" s="1">
        <v>45335</v>
      </c>
      <c r="J829" s="3">
        <v>963.91</v>
      </c>
      <c r="K829" s="4">
        <f t="shared" si="62"/>
        <v>29</v>
      </c>
      <c r="L829" t="str">
        <f t="shared" si="63"/>
        <v>Jan</v>
      </c>
      <c r="M829">
        <f t="shared" si="64"/>
        <v>2024</v>
      </c>
      <c r="N829">
        <f t="shared" si="65"/>
        <v>18</v>
      </c>
    </row>
    <row r="830" spans="1:14" x14ac:dyDescent="0.3">
      <c r="A830" t="s">
        <v>1797</v>
      </c>
      <c r="B830" t="s">
        <v>1798</v>
      </c>
      <c r="C830" s="1">
        <v>37149</v>
      </c>
      <c r="D830" t="s">
        <v>15</v>
      </c>
      <c r="E830" t="s">
        <v>1777</v>
      </c>
      <c r="F830" t="s">
        <v>1778</v>
      </c>
      <c r="G830" t="s">
        <v>1782</v>
      </c>
      <c r="H830" s="1">
        <v>44929</v>
      </c>
      <c r="I830" s="1">
        <v>44933</v>
      </c>
      <c r="J830" s="3">
        <v>961.71</v>
      </c>
      <c r="K830" s="4">
        <f t="shared" si="62"/>
        <v>4</v>
      </c>
      <c r="L830" t="str">
        <f t="shared" si="63"/>
        <v>Jan</v>
      </c>
      <c r="M830">
        <f t="shared" si="64"/>
        <v>2023</v>
      </c>
      <c r="N830">
        <f t="shared" si="65"/>
        <v>21</v>
      </c>
    </row>
    <row r="831" spans="1:14" x14ac:dyDescent="0.3">
      <c r="A831" t="s">
        <v>1799</v>
      </c>
      <c r="B831" t="s">
        <v>1800</v>
      </c>
      <c r="C831" s="1">
        <v>11689</v>
      </c>
      <c r="D831" t="s">
        <v>15</v>
      </c>
      <c r="E831" t="s">
        <v>1777</v>
      </c>
      <c r="F831" t="s">
        <v>1801</v>
      </c>
      <c r="G831" t="s">
        <v>1802</v>
      </c>
      <c r="H831" s="1">
        <v>45138</v>
      </c>
      <c r="I831" s="1">
        <v>45160</v>
      </c>
      <c r="J831" s="3">
        <v>954.37</v>
      </c>
      <c r="K831" s="4">
        <f t="shared" si="62"/>
        <v>22</v>
      </c>
      <c r="L831" t="str">
        <f t="shared" si="63"/>
        <v>Jul</v>
      </c>
      <c r="M831">
        <f t="shared" si="64"/>
        <v>2023</v>
      </c>
      <c r="N831">
        <f t="shared" si="65"/>
        <v>91</v>
      </c>
    </row>
    <row r="832" spans="1:14" x14ac:dyDescent="0.3">
      <c r="A832" t="s">
        <v>1803</v>
      </c>
      <c r="B832" t="s">
        <v>1804</v>
      </c>
      <c r="C832" s="1">
        <v>13607</v>
      </c>
      <c r="D832" t="s">
        <v>15</v>
      </c>
      <c r="E832" t="s">
        <v>1772</v>
      </c>
      <c r="F832" t="s">
        <v>1773</v>
      </c>
      <c r="G832" t="s">
        <v>1774</v>
      </c>
      <c r="H832" s="1">
        <v>45148</v>
      </c>
      <c r="I832" s="1">
        <v>45175</v>
      </c>
      <c r="J832" s="3">
        <v>948.39</v>
      </c>
      <c r="K832" s="4">
        <f t="shared" si="62"/>
        <v>27</v>
      </c>
      <c r="L832" t="str">
        <f t="shared" si="63"/>
        <v>Aug</v>
      </c>
      <c r="M832">
        <f t="shared" si="64"/>
        <v>2023</v>
      </c>
      <c r="N832">
        <f t="shared" si="65"/>
        <v>86</v>
      </c>
    </row>
    <row r="833" spans="1:14" x14ac:dyDescent="0.3">
      <c r="A833" t="s">
        <v>1805</v>
      </c>
      <c r="B833" t="s">
        <v>1806</v>
      </c>
      <c r="C833" s="1">
        <v>27738</v>
      </c>
      <c r="D833" t="s">
        <v>15</v>
      </c>
      <c r="E833" t="s">
        <v>1777</v>
      </c>
      <c r="F833" t="s">
        <v>1778</v>
      </c>
      <c r="G833" t="s">
        <v>1779</v>
      </c>
      <c r="H833" s="1">
        <v>44509</v>
      </c>
      <c r="I833" s="1">
        <v>44522</v>
      </c>
      <c r="J833" s="3">
        <v>944.15</v>
      </c>
      <c r="K833" s="4">
        <f t="shared" si="62"/>
        <v>13</v>
      </c>
      <c r="L833" t="str">
        <f t="shared" si="63"/>
        <v>Nov</v>
      </c>
      <c r="M833">
        <f t="shared" si="64"/>
        <v>2021</v>
      </c>
      <c r="N833">
        <f t="shared" si="65"/>
        <v>45</v>
      </c>
    </row>
    <row r="834" spans="1:14" x14ac:dyDescent="0.3">
      <c r="A834" t="s">
        <v>1807</v>
      </c>
      <c r="B834" t="s">
        <v>1808</v>
      </c>
      <c r="C834" s="1">
        <v>35325</v>
      </c>
      <c r="D834" t="s">
        <v>15</v>
      </c>
      <c r="E834" t="s">
        <v>1138</v>
      </c>
      <c r="F834" t="s">
        <v>1231</v>
      </c>
      <c r="G834" t="s">
        <v>1199</v>
      </c>
      <c r="H834" s="1">
        <v>45235</v>
      </c>
      <c r="I834" s="1">
        <v>45246</v>
      </c>
      <c r="J834" s="3">
        <v>939</v>
      </c>
      <c r="K834" s="4">
        <f t="shared" si="62"/>
        <v>11</v>
      </c>
      <c r="L834" t="str">
        <f t="shared" si="63"/>
        <v>Nov</v>
      </c>
      <c r="M834">
        <f t="shared" si="64"/>
        <v>2023</v>
      </c>
      <c r="N834">
        <f t="shared" si="65"/>
        <v>27</v>
      </c>
    </row>
    <row r="835" spans="1:14" x14ac:dyDescent="0.3">
      <c r="A835" t="s">
        <v>1809</v>
      </c>
      <c r="B835" t="s">
        <v>1810</v>
      </c>
      <c r="C835" s="1">
        <v>38272</v>
      </c>
      <c r="D835" t="s">
        <v>21</v>
      </c>
      <c r="E835" t="s">
        <v>1132</v>
      </c>
      <c r="F835" t="s">
        <v>295</v>
      </c>
      <c r="G835" t="s">
        <v>1188</v>
      </c>
      <c r="H835" s="1">
        <v>44931</v>
      </c>
      <c r="I835" s="1">
        <v>44939</v>
      </c>
      <c r="J835" s="3">
        <v>936.37</v>
      </c>
      <c r="K835" s="4">
        <f t="shared" si="62"/>
        <v>8</v>
      </c>
      <c r="L835" t="str">
        <f t="shared" si="63"/>
        <v>Jan</v>
      </c>
      <c r="M835">
        <f t="shared" si="64"/>
        <v>2023</v>
      </c>
      <c r="N835">
        <f t="shared" si="65"/>
        <v>18</v>
      </c>
    </row>
    <row r="836" spans="1:14" x14ac:dyDescent="0.3">
      <c r="A836" t="s">
        <v>1811</v>
      </c>
      <c r="B836" t="s">
        <v>1812</v>
      </c>
      <c r="C836" s="1">
        <v>37123</v>
      </c>
      <c r="D836" t="s">
        <v>15</v>
      </c>
      <c r="E836" t="s">
        <v>1127</v>
      </c>
      <c r="F836" t="s">
        <v>1128</v>
      </c>
      <c r="G836" t="s">
        <v>1276</v>
      </c>
      <c r="H836" s="1">
        <v>45096</v>
      </c>
      <c r="I836" s="1">
        <v>45114</v>
      </c>
      <c r="J836" s="3">
        <v>933.25</v>
      </c>
      <c r="K836" s="4">
        <f t="shared" si="62"/>
        <v>18</v>
      </c>
      <c r="L836" t="str">
        <f t="shared" si="63"/>
        <v>Jun</v>
      </c>
      <c r="M836">
        <f t="shared" si="64"/>
        <v>2023</v>
      </c>
      <c r="N836">
        <f t="shared" si="65"/>
        <v>21</v>
      </c>
    </row>
    <row r="837" spans="1:14" x14ac:dyDescent="0.3">
      <c r="A837" s="2" t="s">
        <v>1813</v>
      </c>
      <c r="B837" t="s">
        <v>1814</v>
      </c>
      <c r="C837" s="1">
        <v>11601</v>
      </c>
      <c r="D837" t="s">
        <v>15</v>
      </c>
      <c r="E837" t="s">
        <v>1214</v>
      </c>
      <c r="F837" t="s">
        <v>1215</v>
      </c>
      <c r="G837" t="s">
        <v>1694</v>
      </c>
      <c r="H837" s="1">
        <v>44957</v>
      </c>
      <c r="I837" s="1">
        <v>44960</v>
      </c>
      <c r="J837" s="3">
        <v>931.71</v>
      </c>
      <c r="K837" s="4">
        <f t="shared" si="62"/>
        <v>3</v>
      </c>
      <c r="L837" t="str">
        <f t="shared" si="63"/>
        <v>Jan</v>
      </c>
      <c r="M837">
        <f t="shared" si="64"/>
        <v>2023</v>
      </c>
      <c r="N837">
        <f t="shared" si="65"/>
        <v>91</v>
      </c>
    </row>
    <row r="838" spans="1:14" x14ac:dyDescent="0.3">
      <c r="A838" t="s">
        <v>1815</v>
      </c>
      <c r="B838" t="s">
        <v>1816</v>
      </c>
      <c r="C838" s="1">
        <v>8733</v>
      </c>
      <c r="D838" t="s">
        <v>15</v>
      </c>
      <c r="E838" t="s">
        <v>1777</v>
      </c>
      <c r="F838" t="s">
        <v>1801</v>
      </c>
      <c r="G838" t="s">
        <v>1779</v>
      </c>
      <c r="H838" s="1">
        <v>45158</v>
      </c>
      <c r="I838" s="1">
        <v>45183</v>
      </c>
      <c r="J838" s="3">
        <v>928.95</v>
      </c>
      <c r="K838" s="4">
        <f t="shared" si="62"/>
        <v>25</v>
      </c>
      <c r="L838" t="str">
        <f t="shared" si="63"/>
        <v>Aug</v>
      </c>
      <c r="M838">
        <f t="shared" si="64"/>
        <v>2023</v>
      </c>
      <c r="N838">
        <f t="shared" si="65"/>
        <v>99</v>
      </c>
    </row>
    <row r="839" spans="1:14" x14ac:dyDescent="0.3">
      <c r="A839" t="s">
        <v>1817</v>
      </c>
      <c r="B839" t="s">
        <v>1818</v>
      </c>
      <c r="C839" s="1">
        <v>36094</v>
      </c>
      <c r="D839" t="s">
        <v>21</v>
      </c>
      <c r="E839" t="s">
        <v>1777</v>
      </c>
      <c r="F839" t="s">
        <v>1801</v>
      </c>
      <c r="G839" t="s">
        <v>1782</v>
      </c>
      <c r="H839" s="1">
        <v>44643</v>
      </c>
      <c r="I839" s="1">
        <v>44660</v>
      </c>
      <c r="J839" s="3">
        <v>922.7</v>
      </c>
      <c r="K839" s="4">
        <f t="shared" si="62"/>
        <v>17</v>
      </c>
      <c r="L839" t="str">
        <f t="shared" si="63"/>
        <v>Mar</v>
      </c>
      <c r="M839">
        <f t="shared" si="64"/>
        <v>2022</v>
      </c>
      <c r="N839">
        <f t="shared" si="65"/>
        <v>23</v>
      </c>
    </row>
    <row r="840" spans="1:14" x14ac:dyDescent="0.3">
      <c r="A840" s="2" t="s">
        <v>1819</v>
      </c>
      <c r="B840" t="s">
        <v>1820</v>
      </c>
      <c r="C840" s="1">
        <v>43843</v>
      </c>
      <c r="D840" t="s">
        <v>15</v>
      </c>
      <c r="E840" t="s">
        <v>1171</v>
      </c>
      <c r="F840" t="s">
        <v>295</v>
      </c>
      <c r="G840" t="s">
        <v>1179</v>
      </c>
      <c r="H840" s="1">
        <v>44957</v>
      </c>
      <c r="I840" s="1">
        <v>44977</v>
      </c>
      <c r="J840" s="3">
        <v>921.94</v>
      </c>
      <c r="K840" s="4">
        <f t="shared" si="62"/>
        <v>20</v>
      </c>
      <c r="L840" t="str">
        <f t="shared" si="63"/>
        <v>Jan</v>
      </c>
      <c r="M840">
        <f t="shared" si="64"/>
        <v>2023</v>
      </c>
      <c r="N840">
        <f t="shared" si="65"/>
        <v>3</v>
      </c>
    </row>
    <row r="841" spans="1:14" x14ac:dyDescent="0.3">
      <c r="A841" t="s">
        <v>1821</v>
      </c>
      <c r="B841" t="s">
        <v>1822</v>
      </c>
      <c r="C841" s="1">
        <v>10489</v>
      </c>
      <c r="D841" t="s">
        <v>15</v>
      </c>
      <c r="E841" t="s">
        <v>1127</v>
      </c>
      <c r="F841" t="s">
        <v>1128</v>
      </c>
      <c r="G841" t="s">
        <v>1276</v>
      </c>
      <c r="H841" s="1">
        <v>45387</v>
      </c>
      <c r="I841" s="1">
        <v>45410</v>
      </c>
      <c r="J841" s="3">
        <v>913.97</v>
      </c>
      <c r="K841" s="4">
        <f t="shared" si="62"/>
        <v>23</v>
      </c>
      <c r="L841" t="str">
        <f t="shared" si="63"/>
        <v>Apr</v>
      </c>
      <c r="M841">
        <f t="shared" si="64"/>
        <v>2024</v>
      </c>
      <c r="N841">
        <f t="shared" si="65"/>
        <v>95</v>
      </c>
    </row>
    <row r="842" spans="1:14" x14ac:dyDescent="0.3">
      <c r="A842" t="s">
        <v>1823</v>
      </c>
      <c r="B842" t="s">
        <v>1824</v>
      </c>
      <c r="C842" s="1">
        <v>43671</v>
      </c>
      <c r="D842" t="s">
        <v>15</v>
      </c>
      <c r="E842" t="s">
        <v>1147</v>
      </c>
      <c r="F842" t="s">
        <v>1235</v>
      </c>
      <c r="G842" t="s">
        <v>1140</v>
      </c>
      <c r="H842" s="1">
        <v>44692</v>
      </c>
      <c r="I842" s="1">
        <v>44713</v>
      </c>
      <c r="J842" s="3">
        <v>911.41</v>
      </c>
      <c r="K842" s="4">
        <f t="shared" si="62"/>
        <v>21</v>
      </c>
      <c r="L842" t="str">
        <f t="shared" si="63"/>
        <v>May</v>
      </c>
      <c r="M842">
        <f t="shared" si="64"/>
        <v>2022</v>
      </c>
      <c r="N842">
        <f t="shared" si="65"/>
        <v>2</v>
      </c>
    </row>
    <row r="843" spans="1:14" x14ac:dyDescent="0.3">
      <c r="A843" t="s">
        <v>1825</v>
      </c>
      <c r="B843" t="s">
        <v>1826</v>
      </c>
      <c r="C843" s="1">
        <v>40362</v>
      </c>
      <c r="D843" t="s">
        <v>15</v>
      </c>
      <c r="E843" t="s">
        <v>1777</v>
      </c>
      <c r="F843" t="s">
        <v>1778</v>
      </c>
      <c r="G843" t="s">
        <v>1782</v>
      </c>
      <c r="H843" s="1">
        <v>45070</v>
      </c>
      <c r="I843" s="1">
        <v>45092</v>
      </c>
      <c r="J843" s="3">
        <v>891.91</v>
      </c>
      <c r="K843" s="4">
        <f t="shared" si="62"/>
        <v>22</v>
      </c>
      <c r="L843" t="str">
        <f t="shared" si="63"/>
        <v>May</v>
      </c>
      <c r="M843">
        <f t="shared" si="64"/>
        <v>2023</v>
      </c>
      <c r="N843">
        <f t="shared" si="65"/>
        <v>12</v>
      </c>
    </row>
    <row r="844" spans="1:14" x14ac:dyDescent="0.3">
      <c r="A844" t="s">
        <v>1827</v>
      </c>
      <c r="B844" t="s">
        <v>1828</v>
      </c>
      <c r="C844" s="1">
        <v>16972</v>
      </c>
      <c r="D844" t="s">
        <v>15</v>
      </c>
      <c r="E844" t="s">
        <v>2144</v>
      </c>
      <c r="F844" t="s">
        <v>295</v>
      </c>
      <c r="G844" t="s">
        <v>1332</v>
      </c>
      <c r="H844" s="1">
        <v>44476</v>
      </c>
      <c r="I844" s="1">
        <v>44485</v>
      </c>
      <c r="J844" s="3">
        <v>890.12</v>
      </c>
      <c r="K844" s="4">
        <f t="shared" si="62"/>
        <v>9</v>
      </c>
      <c r="L844" t="str">
        <f t="shared" si="63"/>
        <v>Oct</v>
      </c>
      <c r="M844">
        <f t="shared" si="64"/>
        <v>2021</v>
      </c>
      <c r="N844">
        <f t="shared" si="65"/>
        <v>75</v>
      </c>
    </row>
    <row r="845" spans="1:14" x14ac:dyDescent="0.3">
      <c r="A845" t="s">
        <v>1829</v>
      </c>
      <c r="B845" t="s">
        <v>1830</v>
      </c>
      <c r="C845" s="1">
        <v>38209</v>
      </c>
      <c r="D845" t="s">
        <v>15</v>
      </c>
      <c r="E845" t="s">
        <v>1214</v>
      </c>
      <c r="F845" t="s">
        <v>1215</v>
      </c>
      <c r="G845" t="s">
        <v>1216</v>
      </c>
      <c r="H845" s="1">
        <v>45151</v>
      </c>
      <c r="I845" s="1">
        <v>45165</v>
      </c>
      <c r="J845" s="3">
        <v>889.44</v>
      </c>
      <c r="K845" s="4">
        <f t="shared" si="62"/>
        <v>14</v>
      </c>
      <c r="L845" t="str">
        <f t="shared" si="63"/>
        <v>Aug</v>
      </c>
      <c r="M845">
        <f t="shared" si="64"/>
        <v>2023</v>
      </c>
      <c r="N845">
        <f t="shared" si="65"/>
        <v>19</v>
      </c>
    </row>
    <row r="846" spans="1:14" x14ac:dyDescent="0.3">
      <c r="A846" t="s">
        <v>1831</v>
      </c>
      <c r="B846" t="s">
        <v>1832</v>
      </c>
      <c r="C846" s="1">
        <v>21035</v>
      </c>
      <c r="D846" t="s">
        <v>15</v>
      </c>
      <c r="E846" t="s">
        <v>1777</v>
      </c>
      <c r="F846" t="s">
        <v>1778</v>
      </c>
      <c r="G846" t="s">
        <v>1802</v>
      </c>
      <c r="H846" s="1">
        <v>44585</v>
      </c>
      <c r="I846" s="1">
        <v>44604</v>
      </c>
      <c r="J846" s="3">
        <v>888.47</v>
      </c>
      <c r="K846" s="4">
        <f t="shared" si="62"/>
        <v>19</v>
      </c>
      <c r="L846" t="str">
        <f t="shared" si="63"/>
        <v>Jan</v>
      </c>
      <c r="M846">
        <f t="shared" si="64"/>
        <v>2022</v>
      </c>
      <c r="N846">
        <f t="shared" si="65"/>
        <v>64</v>
      </c>
    </row>
    <row r="847" spans="1:14" x14ac:dyDescent="0.3">
      <c r="A847" t="s">
        <v>1833</v>
      </c>
      <c r="B847" t="s">
        <v>1834</v>
      </c>
      <c r="C847" s="1">
        <v>20110</v>
      </c>
      <c r="D847" t="s">
        <v>21</v>
      </c>
      <c r="E847" t="s">
        <v>1132</v>
      </c>
      <c r="F847" t="s">
        <v>1187</v>
      </c>
      <c r="G847" t="s">
        <v>1184</v>
      </c>
      <c r="H847" s="1">
        <v>44743</v>
      </c>
      <c r="I847" s="1">
        <v>44751</v>
      </c>
      <c r="J847" s="3">
        <v>881.67</v>
      </c>
      <c r="K847" s="4">
        <f t="shared" si="62"/>
        <v>8</v>
      </c>
      <c r="L847" t="str">
        <f t="shared" si="63"/>
        <v>Jul</v>
      </c>
      <c r="M847">
        <f t="shared" si="64"/>
        <v>2022</v>
      </c>
      <c r="N847">
        <f t="shared" si="65"/>
        <v>67</v>
      </c>
    </row>
    <row r="848" spans="1:14" x14ac:dyDescent="0.3">
      <c r="A848" t="s">
        <v>1835</v>
      </c>
      <c r="B848" t="s">
        <v>1836</v>
      </c>
      <c r="C848" s="1">
        <v>38104</v>
      </c>
      <c r="D848" t="s">
        <v>21</v>
      </c>
      <c r="E848" t="s">
        <v>1777</v>
      </c>
      <c r="F848" t="s">
        <v>1778</v>
      </c>
      <c r="G848" t="s">
        <v>1782</v>
      </c>
      <c r="H848" s="1">
        <v>44840</v>
      </c>
      <c r="I848" s="1">
        <v>44867</v>
      </c>
      <c r="J848" s="3">
        <v>869.65</v>
      </c>
      <c r="K848" s="4">
        <f t="shared" si="62"/>
        <v>27</v>
      </c>
      <c r="L848" t="str">
        <f t="shared" si="63"/>
        <v>Oct</v>
      </c>
      <c r="M848">
        <f t="shared" si="64"/>
        <v>2022</v>
      </c>
      <c r="N848">
        <f t="shared" si="65"/>
        <v>18</v>
      </c>
    </row>
    <row r="849" spans="1:14" x14ac:dyDescent="0.3">
      <c r="A849" t="s">
        <v>1837</v>
      </c>
      <c r="B849" t="s">
        <v>1838</v>
      </c>
      <c r="C849" s="1">
        <v>40804</v>
      </c>
      <c r="D849" t="s">
        <v>15</v>
      </c>
      <c r="E849" t="s">
        <v>1138</v>
      </c>
      <c r="F849" t="s">
        <v>1231</v>
      </c>
      <c r="G849" t="s">
        <v>1232</v>
      </c>
      <c r="H849" s="1">
        <v>44982</v>
      </c>
      <c r="I849" s="1">
        <v>44992</v>
      </c>
      <c r="J849" s="3">
        <v>868.22</v>
      </c>
      <c r="K849" s="4">
        <f t="shared" si="62"/>
        <v>10</v>
      </c>
      <c r="L849" t="str">
        <f t="shared" si="63"/>
        <v>Feb</v>
      </c>
      <c r="M849">
        <f t="shared" si="64"/>
        <v>2023</v>
      </c>
      <c r="N849">
        <f t="shared" si="65"/>
        <v>11</v>
      </c>
    </row>
    <row r="850" spans="1:14" x14ac:dyDescent="0.3">
      <c r="A850" t="s">
        <v>1839</v>
      </c>
      <c r="B850" t="s">
        <v>1840</v>
      </c>
      <c r="C850" s="1">
        <v>11049</v>
      </c>
      <c r="D850" t="s">
        <v>21</v>
      </c>
      <c r="E850" t="s">
        <v>1161</v>
      </c>
      <c r="F850" t="s">
        <v>683</v>
      </c>
      <c r="G850" t="s">
        <v>1248</v>
      </c>
      <c r="H850" s="1">
        <v>44546</v>
      </c>
      <c r="I850" s="1">
        <v>44569</v>
      </c>
      <c r="J850" s="3">
        <v>855.3</v>
      </c>
      <c r="K850" s="4">
        <f t="shared" si="62"/>
        <v>23</v>
      </c>
      <c r="L850" t="str">
        <f t="shared" si="63"/>
        <v>Dec</v>
      </c>
      <c r="M850">
        <f t="shared" si="64"/>
        <v>2021</v>
      </c>
      <c r="N850">
        <f t="shared" si="65"/>
        <v>91</v>
      </c>
    </row>
    <row r="851" spans="1:14" x14ac:dyDescent="0.3">
      <c r="A851" t="s">
        <v>1841</v>
      </c>
      <c r="B851" t="s">
        <v>1842</v>
      </c>
      <c r="C851" s="1">
        <v>21600</v>
      </c>
      <c r="D851" t="s">
        <v>15</v>
      </c>
      <c r="E851" t="s">
        <v>1127</v>
      </c>
      <c r="F851" t="s">
        <v>91</v>
      </c>
      <c r="G851" t="s">
        <v>1276</v>
      </c>
      <c r="H851" s="1">
        <v>44748</v>
      </c>
      <c r="I851" s="1">
        <v>44764</v>
      </c>
      <c r="J851" s="3">
        <v>834.84</v>
      </c>
      <c r="K851" s="4">
        <f t="shared" si="62"/>
        <v>16</v>
      </c>
      <c r="L851" t="str">
        <f t="shared" si="63"/>
        <v>Jul</v>
      </c>
      <c r="M851">
        <f t="shared" si="64"/>
        <v>2022</v>
      </c>
      <c r="N851">
        <f t="shared" si="65"/>
        <v>63</v>
      </c>
    </row>
    <row r="852" spans="1:14" x14ac:dyDescent="0.3">
      <c r="A852" t="s">
        <v>1843</v>
      </c>
      <c r="B852" t="s">
        <v>1844</v>
      </c>
      <c r="C852" s="1">
        <v>19800</v>
      </c>
      <c r="D852" t="s">
        <v>15</v>
      </c>
      <c r="E852" t="s">
        <v>1777</v>
      </c>
      <c r="F852" t="s">
        <v>1778</v>
      </c>
      <c r="G852" t="s">
        <v>1802</v>
      </c>
      <c r="H852" s="1">
        <v>45032</v>
      </c>
      <c r="I852" s="1">
        <v>45061</v>
      </c>
      <c r="J852" s="3">
        <v>829.41</v>
      </c>
      <c r="K852" s="4">
        <f t="shared" si="62"/>
        <v>29</v>
      </c>
      <c r="L852" t="str">
        <f t="shared" si="63"/>
        <v>Apr</v>
      </c>
      <c r="M852">
        <f t="shared" si="64"/>
        <v>2023</v>
      </c>
      <c r="N852">
        <f t="shared" si="65"/>
        <v>69</v>
      </c>
    </row>
    <row r="853" spans="1:14" x14ac:dyDescent="0.3">
      <c r="A853" t="s">
        <v>1845</v>
      </c>
      <c r="B853" t="s">
        <v>1846</v>
      </c>
      <c r="C853" s="1">
        <v>14973</v>
      </c>
      <c r="D853" t="s">
        <v>21</v>
      </c>
      <c r="E853" t="s">
        <v>1777</v>
      </c>
      <c r="F853" t="s">
        <v>1778</v>
      </c>
      <c r="G853" t="s">
        <v>1779</v>
      </c>
      <c r="H853" s="1">
        <v>44859</v>
      </c>
      <c r="I853" s="1">
        <v>44883</v>
      </c>
      <c r="J853" s="3">
        <v>824.19</v>
      </c>
      <c r="K853" s="4">
        <f t="shared" si="62"/>
        <v>24</v>
      </c>
      <c r="L853" t="str">
        <f t="shared" si="63"/>
        <v>Oct</v>
      </c>
      <c r="M853">
        <f t="shared" si="64"/>
        <v>2022</v>
      </c>
      <c r="N853">
        <f t="shared" si="65"/>
        <v>81</v>
      </c>
    </row>
    <row r="854" spans="1:14" x14ac:dyDescent="0.3">
      <c r="A854" t="s">
        <v>1847</v>
      </c>
      <c r="B854" t="s">
        <v>1848</v>
      </c>
      <c r="C854" s="1">
        <v>39001</v>
      </c>
      <c r="D854" t="s">
        <v>15</v>
      </c>
      <c r="E854" t="s">
        <v>1132</v>
      </c>
      <c r="F854" t="s">
        <v>295</v>
      </c>
      <c r="G854" t="s">
        <v>1133</v>
      </c>
      <c r="H854" s="1">
        <v>45235</v>
      </c>
      <c r="I854" s="1">
        <v>45263</v>
      </c>
      <c r="J854" s="3">
        <v>822.23</v>
      </c>
      <c r="K854" s="4">
        <f t="shared" si="62"/>
        <v>28</v>
      </c>
      <c r="L854" t="str">
        <f t="shared" si="63"/>
        <v>Nov</v>
      </c>
      <c r="M854">
        <f t="shared" si="64"/>
        <v>2023</v>
      </c>
      <c r="N854">
        <f t="shared" si="65"/>
        <v>17</v>
      </c>
    </row>
    <row r="855" spans="1:14" x14ac:dyDescent="0.3">
      <c r="A855" t="s">
        <v>1849</v>
      </c>
      <c r="B855" t="s">
        <v>1850</v>
      </c>
      <c r="C855" s="1">
        <v>20914</v>
      </c>
      <c r="D855" t="s">
        <v>15</v>
      </c>
      <c r="E855" t="s">
        <v>1127</v>
      </c>
      <c r="F855" t="s">
        <v>1128</v>
      </c>
      <c r="G855" t="s">
        <v>1129</v>
      </c>
      <c r="H855" s="1">
        <v>44837</v>
      </c>
      <c r="I855" s="1">
        <v>44856</v>
      </c>
      <c r="J855" s="3">
        <v>820.09</v>
      </c>
      <c r="K855" s="4">
        <f t="shared" si="62"/>
        <v>19</v>
      </c>
      <c r="L855" t="str">
        <f t="shared" si="63"/>
        <v>Oct</v>
      </c>
      <c r="M855">
        <f t="shared" si="64"/>
        <v>2022</v>
      </c>
      <c r="N855">
        <f t="shared" si="65"/>
        <v>65</v>
      </c>
    </row>
    <row r="856" spans="1:14" x14ac:dyDescent="0.3">
      <c r="A856" t="s">
        <v>1851</v>
      </c>
      <c r="B856" t="s">
        <v>1852</v>
      </c>
      <c r="C856" s="1">
        <v>11396</v>
      </c>
      <c r="D856" t="s">
        <v>21</v>
      </c>
      <c r="E856" t="s">
        <v>1777</v>
      </c>
      <c r="F856" t="s">
        <v>1801</v>
      </c>
      <c r="G856" t="s">
        <v>1802</v>
      </c>
      <c r="H856" s="1">
        <v>45430</v>
      </c>
      <c r="I856" s="1">
        <v>45455</v>
      </c>
      <c r="J856" s="3">
        <v>808.25</v>
      </c>
      <c r="K856" s="4">
        <f t="shared" si="62"/>
        <v>25</v>
      </c>
      <c r="L856" t="str">
        <f t="shared" si="63"/>
        <v>May</v>
      </c>
      <c r="M856">
        <f t="shared" si="64"/>
        <v>2024</v>
      </c>
      <c r="N856">
        <f t="shared" si="65"/>
        <v>93</v>
      </c>
    </row>
    <row r="857" spans="1:14" x14ac:dyDescent="0.3">
      <c r="A857" t="s">
        <v>1853</v>
      </c>
      <c r="B857" t="s">
        <v>1854</v>
      </c>
      <c r="C857" s="1">
        <v>29653</v>
      </c>
      <c r="D857" t="s">
        <v>21</v>
      </c>
      <c r="E857" t="s">
        <v>1772</v>
      </c>
      <c r="F857" t="s">
        <v>1855</v>
      </c>
      <c r="G857" t="s">
        <v>1774</v>
      </c>
      <c r="H857" s="1">
        <v>44470</v>
      </c>
      <c r="I857" s="1">
        <v>44472</v>
      </c>
      <c r="J857" s="3">
        <v>806.64</v>
      </c>
      <c r="K857" s="4">
        <f t="shared" si="62"/>
        <v>2</v>
      </c>
      <c r="L857" t="str">
        <f t="shared" si="63"/>
        <v>Oct</v>
      </c>
      <c r="M857">
        <f t="shared" si="64"/>
        <v>2021</v>
      </c>
      <c r="N857">
        <f t="shared" si="65"/>
        <v>40</v>
      </c>
    </row>
    <row r="858" spans="1:14" x14ac:dyDescent="0.3">
      <c r="A858" t="s">
        <v>1856</v>
      </c>
      <c r="B858" t="s">
        <v>1857</v>
      </c>
      <c r="C858" s="1">
        <v>33211</v>
      </c>
      <c r="D858" t="s">
        <v>15</v>
      </c>
      <c r="E858" t="s">
        <v>1147</v>
      </c>
      <c r="F858" t="s">
        <v>1148</v>
      </c>
      <c r="G858" t="s">
        <v>1236</v>
      </c>
      <c r="H858" s="1">
        <v>45481</v>
      </c>
      <c r="I858" s="1">
        <v>45507</v>
      </c>
      <c r="J858" s="3">
        <v>806.04</v>
      </c>
      <c r="K858" s="4">
        <f t="shared" si="62"/>
        <v>26</v>
      </c>
      <c r="L858" t="str">
        <f t="shared" si="63"/>
        <v>Jul</v>
      </c>
      <c r="M858">
        <f t="shared" si="64"/>
        <v>2024</v>
      </c>
      <c r="N858">
        <f t="shared" si="65"/>
        <v>33</v>
      </c>
    </row>
    <row r="859" spans="1:14" x14ac:dyDescent="0.3">
      <c r="A859" t="s">
        <v>1858</v>
      </c>
      <c r="B859" t="s">
        <v>1859</v>
      </c>
      <c r="C859" s="1">
        <v>40260</v>
      </c>
      <c r="D859" t="s">
        <v>15</v>
      </c>
      <c r="E859" t="s">
        <v>1772</v>
      </c>
      <c r="F859" t="s">
        <v>1855</v>
      </c>
      <c r="G859" t="s">
        <v>1860</v>
      </c>
      <c r="H859" s="1">
        <v>44936</v>
      </c>
      <c r="I859" s="1">
        <v>44954</v>
      </c>
      <c r="J859" s="3">
        <v>805.41</v>
      </c>
      <c r="K859" s="4">
        <f t="shared" si="62"/>
        <v>18</v>
      </c>
      <c r="L859" t="str">
        <f t="shared" si="63"/>
        <v>Jan</v>
      </c>
      <c r="M859">
        <f t="shared" si="64"/>
        <v>2023</v>
      </c>
      <c r="N859">
        <f t="shared" si="65"/>
        <v>12</v>
      </c>
    </row>
    <row r="860" spans="1:14" x14ac:dyDescent="0.3">
      <c r="A860" t="s">
        <v>1861</v>
      </c>
      <c r="B860" t="s">
        <v>1862</v>
      </c>
      <c r="C860" s="1">
        <v>16908</v>
      </c>
      <c r="D860" t="s">
        <v>21</v>
      </c>
      <c r="E860" t="s">
        <v>1772</v>
      </c>
      <c r="F860" t="s">
        <v>1773</v>
      </c>
      <c r="G860" t="s">
        <v>1774</v>
      </c>
      <c r="H860" s="1">
        <v>45057</v>
      </c>
      <c r="I860" s="1">
        <v>45082</v>
      </c>
      <c r="J860" s="3">
        <v>797.81</v>
      </c>
      <c r="K860" s="4">
        <f t="shared" si="62"/>
        <v>25</v>
      </c>
      <c r="L860" t="str">
        <f t="shared" si="63"/>
        <v>May</v>
      </c>
      <c r="M860">
        <f t="shared" si="64"/>
        <v>2023</v>
      </c>
      <c r="N860">
        <f t="shared" si="65"/>
        <v>77</v>
      </c>
    </row>
    <row r="861" spans="1:14" x14ac:dyDescent="0.3">
      <c r="A861" t="s">
        <v>1863</v>
      </c>
      <c r="B861" t="s">
        <v>1864</v>
      </c>
      <c r="C861" s="1">
        <v>12318</v>
      </c>
      <c r="D861" t="s">
        <v>21</v>
      </c>
      <c r="E861" t="s">
        <v>2144</v>
      </c>
      <c r="F861" t="s">
        <v>295</v>
      </c>
      <c r="G861" t="s">
        <v>1332</v>
      </c>
      <c r="H861" s="1">
        <v>45169</v>
      </c>
      <c r="I861" s="1">
        <v>45178</v>
      </c>
      <c r="J861" s="3">
        <v>789.68</v>
      </c>
      <c r="K861" s="4">
        <f t="shared" si="62"/>
        <v>9</v>
      </c>
      <c r="L861" t="str">
        <f t="shared" si="63"/>
        <v>Aug</v>
      </c>
      <c r="M861">
        <f t="shared" si="64"/>
        <v>2023</v>
      </c>
      <c r="N861">
        <f t="shared" si="65"/>
        <v>89</v>
      </c>
    </row>
    <row r="862" spans="1:14" x14ac:dyDescent="0.3">
      <c r="A862" t="s">
        <v>1865</v>
      </c>
      <c r="B862" t="s">
        <v>1866</v>
      </c>
      <c r="C862" s="1">
        <v>38674</v>
      </c>
      <c r="D862" t="s">
        <v>21</v>
      </c>
      <c r="E862" t="s">
        <v>1171</v>
      </c>
      <c r="F862" t="s">
        <v>1364</v>
      </c>
      <c r="G862" t="s">
        <v>1179</v>
      </c>
      <c r="H862" s="1">
        <v>44521</v>
      </c>
      <c r="I862" s="1">
        <v>44531</v>
      </c>
      <c r="J862" s="3">
        <v>777.41</v>
      </c>
      <c r="K862" s="4">
        <f t="shared" ref="K862:K888" si="66" xml:space="preserve"> I862-H862</f>
        <v>10</v>
      </c>
      <c r="L862" t="str">
        <f t="shared" si="63"/>
        <v>Nov</v>
      </c>
      <c r="M862">
        <f t="shared" si="64"/>
        <v>2021</v>
      </c>
      <c r="N862">
        <f t="shared" si="65"/>
        <v>16</v>
      </c>
    </row>
    <row r="863" spans="1:14" x14ac:dyDescent="0.3">
      <c r="A863" t="s">
        <v>1867</v>
      </c>
      <c r="B863" t="s">
        <v>1868</v>
      </c>
      <c r="C863" s="1">
        <v>35661</v>
      </c>
      <c r="D863" t="s">
        <v>15</v>
      </c>
      <c r="E863" t="s">
        <v>1171</v>
      </c>
      <c r="F863" t="s">
        <v>1128</v>
      </c>
      <c r="G863" t="s">
        <v>1179</v>
      </c>
      <c r="H863" s="1">
        <v>44679</v>
      </c>
      <c r="I863" s="1">
        <v>44698</v>
      </c>
      <c r="J863" s="3">
        <v>771.22</v>
      </c>
      <c r="K863" s="4">
        <f t="shared" si="66"/>
        <v>19</v>
      </c>
      <c r="L863" t="str">
        <f t="shared" si="63"/>
        <v>Apr</v>
      </c>
      <c r="M863">
        <f t="shared" si="64"/>
        <v>2022</v>
      </c>
      <c r="N863">
        <f t="shared" si="65"/>
        <v>24</v>
      </c>
    </row>
    <row r="864" spans="1:14" x14ac:dyDescent="0.3">
      <c r="A864" t="s">
        <v>1869</v>
      </c>
      <c r="B864" t="s">
        <v>1870</v>
      </c>
      <c r="C864" s="1">
        <v>26151</v>
      </c>
      <c r="D864" t="s">
        <v>15</v>
      </c>
      <c r="E864" t="s">
        <v>1214</v>
      </c>
      <c r="F864" t="s">
        <v>84</v>
      </c>
      <c r="G864" t="s">
        <v>1225</v>
      </c>
      <c r="H864" s="1">
        <v>44561</v>
      </c>
      <c r="I864" s="1">
        <v>44575</v>
      </c>
      <c r="J864" s="3">
        <v>769.7</v>
      </c>
      <c r="K864" s="4">
        <f t="shared" si="66"/>
        <v>14</v>
      </c>
      <c r="L864" t="str">
        <f t="shared" si="63"/>
        <v>Dec</v>
      </c>
      <c r="M864">
        <f t="shared" si="64"/>
        <v>2021</v>
      </c>
      <c r="N864">
        <f t="shared" si="65"/>
        <v>50</v>
      </c>
    </row>
    <row r="865" spans="1:14" x14ac:dyDescent="0.3">
      <c r="A865" t="s">
        <v>1871</v>
      </c>
      <c r="B865" t="s">
        <v>1872</v>
      </c>
      <c r="C865" s="1">
        <v>31240</v>
      </c>
      <c r="D865" t="s">
        <v>21</v>
      </c>
      <c r="E865" t="s">
        <v>1171</v>
      </c>
      <c r="F865" t="s">
        <v>1364</v>
      </c>
      <c r="G865" t="s">
        <v>1184</v>
      </c>
      <c r="H865" s="1">
        <v>44469</v>
      </c>
      <c r="I865" s="1">
        <v>44470</v>
      </c>
      <c r="J865" s="3">
        <v>747.72</v>
      </c>
      <c r="K865" s="4">
        <f t="shared" si="66"/>
        <v>1</v>
      </c>
      <c r="L865" t="str">
        <f t="shared" si="63"/>
        <v>Sep</v>
      </c>
      <c r="M865">
        <f t="shared" si="64"/>
        <v>2021</v>
      </c>
      <c r="N865">
        <f t="shared" si="65"/>
        <v>36</v>
      </c>
    </row>
    <row r="866" spans="1:14" x14ac:dyDescent="0.3">
      <c r="A866" t="s">
        <v>1873</v>
      </c>
      <c r="B866" t="s">
        <v>1874</v>
      </c>
      <c r="C866" s="1">
        <v>42079</v>
      </c>
      <c r="D866" t="s">
        <v>15</v>
      </c>
      <c r="E866" t="s">
        <v>1161</v>
      </c>
      <c r="F866" t="s">
        <v>683</v>
      </c>
      <c r="G866" t="s">
        <v>1163</v>
      </c>
      <c r="H866" s="1">
        <v>45037</v>
      </c>
      <c r="I866" s="1">
        <v>45046</v>
      </c>
      <c r="J866" s="3">
        <v>747.16</v>
      </c>
      <c r="K866" s="4">
        <f t="shared" si="66"/>
        <v>9</v>
      </c>
      <c r="L866" t="str">
        <f t="shared" si="63"/>
        <v>Apr</v>
      </c>
      <c r="M866">
        <f t="shared" si="64"/>
        <v>2023</v>
      </c>
      <c r="N866">
        <f t="shared" si="65"/>
        <v>8</v>
      </c>
    </row>
    <row r="867" spans="1:14" x14ac:dyDescent="0.3">
      <c r="A867" t="s">
        <v>1875</v>
      </c>
      <c r="B867" t="s">
        <v>1876</v>
      </c>
      <c r="C867" s="1">
        <v>25433</v>
      </c>
      <c r="D867" t="s">
        <v>15</v>
      </c>
      <c r="E867" t="s">
        <v>1127</v>
      </c>
      <c r="F867" t="s">
        <v>1128</v>
      </c>
      <c r="G867" t="s">
        <v>1129</v>
      </c>
      <c r="H867" s="1">
        <v>45227</v>
      </c>
      <c r="I867" s="1">
        <v>45254</v>
      </c>
      <c r="J867" s="3">
        <v>747.1</v>
      </c>
      <c r="K867" s="4">
        <f t="shared" si="66"/>
        <v>27</v>
      </c>
      <c r="L867" t="str">
        <f t="shared" si="63"/>
        <v>Oct</v>
      </c>
      <c r="M867">
        <f t="shared" si="64"/>
        <v>2023</v>
      </c>
      <c r="N867">
        <f t="shared" si="65"/>
        <v>54</v>
      </c>
    </row>
    <row r="868" spans="1:14" x14ac:dyDescent="0.3">
      <c r="A868" t="s">
        <v>1877</v>
      </c>
      <c r="B868" t="s">
        <v>1878</v>
      </c>
      <c r="C868" s="1">
        <v>25030</v>
      </c>
      <c r="D868" t="s">
        <v>21</v>
      </c>
      <c r="E868" t="s">
        <v>1772</v>
      </c>
      <c r="F868" t="s">
        <v>1773</v>
      </c>
      <c r="G868" t="s">
        <v>1860</v>
      </c>
      <c r="H868" s="1">
        <v>44690</v>
      </c>
      <c r="I868" s="1">
        <v>44694</v>
      </c>
      <c r="J868" s="3">
        <v>738.39</v>
      </c>
      <c r="K868" s="4">
        <f t="shared" si="66"/>
        <v>4</v>
      </c>
      <c r="L868" t="str">
        <f t="shared" si="63"/>
        <v>May</v>
      </c>
      <c r="M868">
        <f t="shared" si="64"/>
        <v>2022</v>
      </c>
      <c r="N868">
        <f t="shared" si="65"/>
        <v>53</v>
      </c>
    </row>
    <row r="869" spans="1:14" x14ac:dyDescent="0.3">
      <c r="A869" t="s">
        <v>1879</v>
      </c>
      <c r="B869" t="s">
        <v>1880</v>
      </c>
      <c r="C869" s="1">
        <v>26393</v>
      </c>
      <c r="D869" t="s">
        <v>21</v>
      </c>
      <c r="E869" t="s">
        <v>1171</v>
      </c>
      <c r="F869" t="s">
        <v>1128</v>
      </c>
      <c r="G869" t="s">
        <v>1172</v>
      </c>
      <c r="H869" s="1">
        <v>45368</v>
      </c>
      <c r="I869" s="1">
        <v>45385</v>
      </c>
      <c r="J869" s="3">
        <v>737.09</v>
      </c>
      <c r="K869" s="4">
        <f t="shared" si="66"/>
        <v>17</v>
      </c>
      <c r="L869" t="str">
        <f t="shared" si="63"/>
        <v>Mar</v>
      </c>
      <c r="M869">
        <f t="shared" si="64"/>
        <v>2024</v>
      </c>
      <c r="N869">
        <f t="shared" si="65"/>
        <v>51</v>
      </c>
    </row>
    <row r="870" spans="1:14" x14ac:dyDescent="0.3">
      <c r="A870" t="s">
        <v>1881</v>
      </c>
      <c r="B870" t="s">
        <v>1882</v>
      </c>
      <c r="C870" s="1">
        <v>22511</v>
      </c>
      <c r="D870" t="s">
        <v>15</v>
      </c>
      <c r="E870" t="s">
        <v>1772</v>
      </c>
      <c r="F870" t="s">
        <v>1855</v>
      </c>
      <c r="G870" t="s">
        <v>1883</v>
      </c>
      <c r="H870" s="1">
        <v>44661</v>
      </c>
      <c r="I870" s="1">
        <v>44672</v>
      </c>
      <c r="J870" s="3">
        <v>736.7</v>
      </c>
      <c r="K870" s="4">
        <f t="shared" si="66"/>
        <v>11</v>
      </c>
      <c r="L870" t="str">
        <f t="shared" si="63"/>
        <v>Apr</v>
      </c>
      <c r="M870">
        <f t="shared" si="64"/>
        <v>2022</v>
      </c>
      <c r="N870">
        <f t="shared" si="65"/>
        <v>60</v>
      </c>
    </row>
    <row r="871" spans="1:14" x14ac:dyDescent="0.3">
      <c r="A871" t="s">
        <v>1884</v>
      </c>
      <c r="B871" t="s">
        <v>1885</v>
      </c>
      <c r="C871" s="1">
        <v>13629</v>
      </c>
      <c r="D871" t="s">
        <v>15</v>
      </c>
      <c r="E871" t="s">
        <v>1772</v>
      </c>
      <c r="F871" t="s">
        <v>1855</v>
      </c>
      <c r="G871" t="s">
        <v>1860</v>
      </c>
      <c r="H871" s="1">
        <v>45391</v>
      </c>
      <c r="I871" s="1">
        <v>45403</v>
      </c>
      <c r="J871" s="3">
        <v>730.41</v>
      </c>
      <c r="K871" s="4">
        <f t="shared" si="66"/>
        <v>12</v>
      </c>
      <c r="L871" t="str">
        <f t="shared" si="63"/>
        <v>Apr</v>
      </c>
      <c r="M871">
        <f t="shared" si="64"/>
        <v>2024</v>
      </c>
      <c r="N871">
        <f t="shared" si="65"/>
        <v>86</v>
      </c>
    </row>
    <row r="872" spans="1:14" x14ac:dyDescent="0.3">
      <c r="A872" t="s">
        <v>1886</v>
      </c>
      <c r="B872" t="s">
        <v>1887</v>
      </c>
      <c r="C872" s="1">
        <v>23066</v>
      </c>
      <c r="D872" t="s">
        <v>15</v>
      </c>
      <c r="E872" t="s">
        <v>1127</v>
      </c>
      <c r="F872" t="s">
        <v>1168</v>
      </c>
      <c r="G872" t="s">
        <v>1129</v>
      </c>
      <c r="H872" s="1">
        <v>45101</v>
      </c>
      <c r="I872" s="1">
        <v>45105</v>
      </c>
      <c r="J872" s="3">
        <v>722.12</v>
      </c>
      <c r="K872" s="4">
        <f t="shared" si="66"/>
        <v>4</v>
      </c>
      <c r="L872" t="str">
        <f t="shared" si="63"/>
        <v>Jun</v>
      </c>
      <c r="M872">
        <f t="shared" si="64"/>
        <v>2023</v>
      </c>
      <c r="N872">
        <f t="shared" si="65"/>
        <v>60</v>
      </c>
    </row>
    <row r="873" spans="1:14" x14ac:dyDescent="0.3">
      <c r="A873" t="s">
        <v>1888</v>
      </c>
      <c r="B873" t="s">
        <v>1889</v>
      </c>
      <c r="C873" s="1">
        <v>22570</v>
      </c>
      <c r="D873" t="s">
        <v>15</v>
      </c>
      <c r="E873" t="s">
        <v>1132</v>
      </c>
      <c r="F873" t="s">
        <v>1187</v>
      </c>
      <c r="G873" t="s">
        <v>1184</v>
      </c>
      <c r="H873" s="1">
        <v>44684</v>
      </c>
      <c r="I873" s="1">
        <v>44688</v>
      </c>
      <c r="J873" s="3">
        <v>721.84</v>
      </c>
      <c r="K873" s="4">
        <f t="shared" si="66"/>
        <v>4</v>
      </c>
      <c r="L873" t="str">
        <f t="shared" ref="L873:L936" si="67">TEXT(H873,"mmm")</f>
        <v>May</v>
      </c>
      <c r="M873">
        <f t="shared" si="64"/>
        <v>2022</v>
      </c>
      <c r="N873">
        <f t="shared" si="65"/>
        <v>60</v>
      </c>
    </row>
    <row r="874" spans="1:14" x14ac:dyDescent="0.3">
      <c r="A874" t="s">
        <v>1890</v>
      </c>
      <c r="B874" t="s">
        <v>1891</v>
      </c>
      <c r="C874" s="1">
        <v>43280</v>
      </c>
      <c r="D874" t="s">
        <v>15</v>
      </c>
      <c r="E874" t="s">
        <v>1127</v>
      </c>
      <c r="F874" t="s">
        <v>1128</v>
      </c>
      <c r="G874" t="s">
        <v>1154</v>
      </c>
      <c r="H874" s="1">
        <v>45233</v>
      </c>
      <c r="I874" s="1">
        <v>45251</v>
      </c>
      <c r="J874" s="3">
        <v>721.79</v>
      </c>
      <c r="K874" s="4">
        <f t="shared" si="66"/>
        <v>18</v>
      </c>
      <c r="L874" t="str">
        <f t="shared" si="67"/>
        <v>Nov</v>
      </c>
      <c r="M874">
        <f t="shared" si="64"/>
        <v>2023</v>
      </c>
      <c r="N874">
        <f t="shared" si="65"/>
        <v>5</v>
      </c>
    </row>
    <row r="875" spans="1:14" x14ac:dyDescent="0.3">
      <c r="A875" t="s">
        <v>1892</v>
      </c>
      <c r="B875" t="s">
        <v>1893</v>
      </c>
      <c r="C875" s="1">
        <v>20871</v>
      </c>
      <c r="D875" t="s">
        <v>15</v>
      </c>
      <c r="E875" t="s">
        <v>1161</v>
      </c>
      <c r="F875" t="s">
        <v>1162</v>
      </c>
      <c r="G875" t="s">
        <v>957</v>
      </c>
      <c r="H875" s="1">
        <v>44390</v>
      </c>
      <c r="I875" s="1">
        <v>44417</v>
      </c>
      <c r="J875" s="3">
        <v>718.94</v>
      </c>
      <c r="K875" s="4">
        <f t="shared" si="66"/>
        <v>27</v>
      </c>
      <c r="L875" t="str">
        <f t="shared" si="67"/>
        <v>Jul</v>
      </c>
      <c r="M875">
        <f t="shared" si="64"/>
        <v>2021</v>
      </c>
      <c r="N875">
        <f t="shared" si="65"/>
        <v>64</v>
      </c>
    </row>
    <row r="876" spans="1:14" x14ac:dyDescent="0.3">
      <c r="A876" t="s">
        <v>1894</v>
      </c>
      <c r="B876" t="s">
        <v>1895</v>
      </c>
      <c r="C876" s="1">
        <v>21654</v>
      </c>
      <c r="D876" t="s">
        <v>21</v>
      </c>
      <c r="E876" t="s">
        <v>1147</v>
      </c>
      <c r="F876" t="s">
        <v>1148</v>
      </c>
      <c r="G876" t="s">
        <v>1149</v>
      </c>
      <c r="H876" s="1">
        <v>45098</v>
      </c>
      <c r="I876" s="1">
        <v>45121</v>
      </c>
      <c r="J876" s="3">
        <v>716.52</v>
      </c>
      <c r="K876" s="4">
        <f t="shared" si="66"/>
        <v>23</v>
      </c>
      <c r="L876" t="str">
        <f t="shared" si="67"/>
        <v>Jun</v>
      </c>
      <c r="M876">
        <f t="shared" si="64"/>
        <v>2023</v>
      </c>
      <c r="N876">
        <f t="shared" si="65"/>
        <v>64</v>
      </c>
    </row>
    <row r="877" spans="1:14" x14ac:dyDescent="0.3">
      <c r="A877" t="s">
        <v>1896</v>
      </c>
      <c r="B877" t="s">
        <v>1897</v>
      </c>
      <c r="C877" s="1">
        <v>36495</v>
      </c>
      <c r="D877" t="s">
        <v>15</v>
      </c>
      <c r="E877" t="s">
        <v>1777</v>
      </c>
      <c r="F877" t="s">
        <v>1801</v>
      </c>
      <c r="G877" t="s">
        <v>1802</v>
      </c>
      <c r="H877" s="1">
        <v>45255</v>
      </c>
      <c r="I877" s="1">
        <v>45280</v>
      </c>
      <c r="J877" s="3">
        <v>711.19</v>
      </c>
      <c r="K877" s="4">
        <f t="shared" si="66"/>
        <v>25</v>
      </c>
      <c r="L877" t="str">
        <f t="shared" si="67"/>
        <v>Nov</v>
      </c>
      <c r="M877">
        <f t="shared" si="64"/>
        <v>2023</v>
      </c>
      <c r="N877">
        <f t="shared" si="65"/>
        <v>23</v>
      </c>
    </row>
    <row r="878" spans="1:14" x14ac:dyDescent="0.3">
      <c r="A878" t="s">
        <v>1898</v>
      </c>
      <c r="B878" t="s">
        <v>1899</v>
      </c>
      <c r="C878" s="1">
        <v>11369</v>
      </c>
      <c r="D878" t="s">
        <v>15</v>
      </c>
      <c r="E878" t="s">
        <v>1777</v>
      </c>
      <c r="F878" t="s">
        <v>1778</v>
      </c>
      <c r="G878" t="s">
        <v>1782</v>
      </c>
      <c r="H878" s="1">
        <v>45438</v>
      </c>
      <c r="I878" s="1">
        <v>45445</v>
      </c>
      <c r="J878" s="3">
        <v>691.75</v>
      </c>
      <c r="K878" s="4">
        <f t="shared" si="66"/>
        <v>7</v>
      </c>
      <c r="L878" t="str">
        <f t="shared" si="67"/>
        <v>May</v>
      </c>
      <c r="M878">
        <f t="shared" si="64"/>
        <v>2024</v>
      </c>
      <c r="N878">
        <f t="shared" si="65"/>
        <v>93</v>
      </c>
    </row>
    <row r="879" spans="1:14" x14ac:dyDescent="0.3">
      <c r="A879" t="s">
        <v>1900</v>
      </c>
      <c r="B879" t="s">
        <v>379</v>
      </c>
      <c r="C879" s="1">
        <v>11258</v>
      </c>
      <c r="D879" t="s">
        <v>21</v>
      </c>
      <c r="E879" t="s">
        <v>1777</v>
      </c>
      <c r="F879" t="s">
        <v>1801</v>
      </c>
      <c r="G879" t="s">
        <v>1802</v>
      </c>
      <c r="H879" s="1">
        <v>45307</v>
      </c>
      <c r="I879" s="1">
        <v>45309</v>
      </c>
      <c r="J879" s="3">
        <v>690.77</v>
      </c>
      <c r="K879" s="4">
        <f t="shared" si="66"/>
        <v>2</v>
      </c>
      <c r="L879" t="str">
        <f t="shared" si="67"/>
        <v>Jan</v>
      </c>
      <c r="M879">
        <f t="shared" si="64"/>
        <v>2024</v>
      </c>
      <c r="N879">
        <f t="shared" si="65"/>
        <v>93</v>
      </c>
    </row>
    <row r="880" spans="1:14" x14ac:dyDescent="0.3">
      <c r="A880" t="s">
        <v>1901</v>
      </c>
      <c r="B880" t="s">
        <v>1902</v>
      </c>
      <c r="C880" s="1">
        <v>37371</v>
      </c>
      <c r="D880" t="s">
        <v>15</v>
      </c>
      <c r="E880" t="s">
        <v>1777</v>
      </c>
      <c r="F880" t="s">
        <v>1778</v>
      </c>
      <c r="G880" t="s">
        <v>1782</v>
      </c>
      <c r="H880" s="1">
        <v>44576</v>
      </c>
      <c r="I880" s="1">
        <v>44599</v>
      </c>
      <c r="J880" s="3">
        <v>688.81</v>
      </c>
      <c r="K880" s="4">
        <f t="shared" si="66"/>
        <v>23</v>
      </c>
      <c r="L880" t="str">
        <f t="shared" si="67"/>
        <v>Jan</v>
      </c>
      <c r="M880">
        <f t="shared" si="64"/>
        <v>2022</v>
      </c>
      <c r="N880">
        <f t="shared" si="65"/>
        <v>19</v>
      </c>
    </row>
    <row r="881" spans="1:14" x14ac:dyDescent="0.3">
      <c r="A881" t="s">
        <v>1903</v>
      </c>
      <c r="B881" t="s">
        <v>1904</v>
      </c>
      <c r="C881" s="1">
        <v>15643</v>
      </c>
      <c r="D881" t="s">
        <v>21</v>
      </c>
      <c r="E881" t="s">
        <v>1214</v>
      </c>
      <c r="F881" t="s">
        <v>84</v>
      </c>
      <c r="G881" t="s">
        <v>1694</v>
      </c>
      <c r="H881" s="1">
        <v>45324</v>
      </c>
      <c r="I881" s="1">
        <v>45351</v>
      </c>
      <c r="J881" s="3">
        <v>686.96</v>
      </c>
      <c r="K881" s="4">
        <f t="shared" si="66"/>
        <v>27</v>
      </c>
      <c r="L881" t="str">
        <f t="shared" si="67"/>
        <v>Feb</v>
      </c>
      <c r="M881">
        <f t="shared" si="64"/>
        <v>2024</v>
      </c>
      <c r="N881">
        <f t="shared" si="65"/>
        <v>81</v>
      </c>
    </row>
    <row r="882" spans="1:14" x14ac:dyDescent="0.3">
      <c r="A882" t="s">
        <v>1905</v>
      </c>
      <c r="B882" t="s">
        <v>1906</v>
      </c>
      <c r="C882" s="1">
        <v>32043</v>
      </c>
      <c r="D882" t="s">
        <v>15</v>
      </c>
      <c r="E882" t="s">
        <v>1772</v>
      </c>
      <c r="F882" t="s">
        <v>1773</v>
      </c>
      <c r="G882" t="s">
        <v>1774</v>
      </c>
      <c r="H882" s="1">
        <v>44484</v>
      </c>
      <c r="I882" s="1">
        <v>44504</v>
      </c>
      <c r="J882" s="3">
        <v>683.73</v>
      </c>
      <c r="K882" s="4">
        <f t="shared" si="66"/>
        <v>20</v>
      </c>
      <c r="L882" t="str">
        <f t="shared" si="67"/>
        <v>Oct</v>
      </c>
      <c r="M882">
        <f t="shared" si="64"/>
        <v>2021</v>
      </c>
      <c r="N882">
        <f t="shared" si="65"/>
        <v>34</v>
      </c>
    </row>
    <row r="883" spans="1:14" x14ac:dyDescent="0.3">
      <c r="A883" t="s">
        <v>1907</v>
      </c>
      <c r="B883" t="s">
        <v>1908</v>
      </c>
      <c r="C883" s="1">
        <v>35047</v>
      </c>
      <c r="D883" t="s">
        <v>15</v>
      </c>
      <c r="E883" t="s">
        <v>1777</v>
      </c>
      <c r="F883" t="s">
        <v>1801</v>
      </c>
      <c r="G883" t="s">
        <v>1779</v>
      </c>
      <c r="H883" s="1">
        <v>44602</v>
      </c>
      <c r="I883" s="1">
        <v>44624</v>
      </c>
      <c r="J883" s="3">
        <v>677.22</v>
      </c>
      <c r="K883" s="4">
        <f t="shared" si="66"/>
        <v>22</v>
      </c>
      <c r="L883" t="str">
        <f t="shared" si="67"/>
        <v>Feb</v>
      </c>
      <c r="M883">
        <f t="shared" si="64"/>
        <v>2022</v>
      </c>
      <c r="N883">
        <f t="shared" si="65"/>
        <v>26</v>
      </c>
    </row>
    <row r="884" spans="1:14" x14ac:dyDescent="0.3">
      <c r="A884" t="s">
        <v>1909</v>
      </c>
      <c r="B884" t="s">
        <v>1910</v>
      </c>
      <c r="C884" s="1">
        <v>33112</v>
      </c>
      <c r="D884" t="s">
        <v>21</v>
      </c>
      <c r="E884" t="s">
        <v>1138</v>
      </c>
      <c r="F884" t="s">
        <v>1139</v>
      </c>
      <c r="G884" t="s">
        <v>1199</v>
      </c>
      <c r="H884" s="1">
        <v>45255</v>
      </c>
      <c r="I884" s="1">
        <v>45283</v>
      </c>
      <c r="J884" s="3">
        <v>677.16</v>
      </c>
      <c r="K884" s="4">
        <f t="shared" si="66"/>
        <v>28</v>
      </c>
      <c r="L884" t="str">
        <f t="shared" si="67"/>
        <v>Nov</v>
      </c>
      <c r="M884">
        <f t="shared" si="64"/>
        <v>2023</v>
      </c>
      <c r="N884">
        <f t="shared" si="65"/>
        <v>33</v>
      </c>
    </row>
    <row r="885" spans="1:14" x14ac:dyDescent="0.3">
      <c r="A885" t="s">
        <v>1911</v>
      </c>
      <c r="B885" t="s">
        <v>1912</v>
      </c>
      <c r="C885" s="1">
        <v>42658</v>
      </c>
      <c r="D885" t="s">
        <v>21</v>
      </c>
      <c r="E885" t="s">
        <v>1772</v>
      </c>
      <c r="F885" t="s">
        <v>1855</v>
      </c>
      <c r="G885" t="s">
        <v>1860</v>
      </c>
      <c r="H885" s="1">
        <v>45168</v>
      </c>
      <c r="I885" s="1">
        <v>45190</v>
      </c>
      <c r="J885" s="3">
        <v>672.73</v>
      </c>
      <c r="K885" s="4">
        <f t="shared" si="66"/>
        <v>22</v>
      </c>
      <c r="L885" t="str">
        <f t="shared" si="67"/>
        <v>Aug</v>
      </c>
      <c r="M885">
        <f t="shared" si="64"/>
        <v>2023</v>
      </c>
      <c r="N885">
        <f t="shared" si="65"/>
        <v>6</v>
      </c>
    </row>
    <row r="886" spans="1:14" x14ac:dyDescent="0.3">
      <c r="A886" t="s">
        <v>1913</v>
      </c>
      <c r="B886" t="s">
        <v>1914</v>
      </c>
      <c r="C886" s="1">
        <v>15925</v>
      </c>
      <c r="D886" t="s">
        <v>15</v>
      </c>
      <c r="E886" t="s">
        <v>1127</v>
      </c>
      <c r="F886" t="s">
        <v>1168</v>
      </c>
      <c r="G886" t="s">
        <v>1129</v>
      </c>
      <c r="H886" s="1">
        <v>44486</v>
      </c>
      <c r="I886" s="1">
        <v>44510</v>
      </c>
      <c r="J886" s="3">
        <v>672.29</v>
      </c>
      <c r="K886" s="4">
        <f t="shared" si="66"/>
        <v>24</v>
      </c>
      <c r="L886" t="str">
        <f t="shared" si="67"/>
        <v>Oct</v>
      </c>
      <c r="M886">
        <f t="shared" ref="M886:M949" si="68">YEAR(H886)</f>
        <v>2021</v>
      </c>
      <c r="N886">
        <f t="shared" ref="N886:N949" si="69">DATEDIF(C886, H886, "Y")</f>
        <v>78</v>
      </c>
    </row>
    <row r="887" spans="1:14" x14ac:dyDescent="0.3">
      <c r="A887" t="s">
        <v>1915</v>
      </c>
      <c r="B887" t="s">
        <v>1916</v>
      </c>
      <c r="C887" s="1">
        <v>44994</v>
      </c>
      <c r="D887" t="s">
        <v>21</v>
      </c>
      <c r="E887" t="s">
        <v>1777</v>
      </c>
      <c r="F887" t="s">
        <v>1778</v>
      </c>
      <c r="G887" t="s">
        <v>1779</v>
      </c>
      <c r="H887" s="1">
        <v>45235</v>
      </c>
      <c r="I887" s="1">
        <v>45243</v>
      </c>
      <c r="J887" s="3">
        <v>671.8</v>
      </c>
      <c r="K887" s="4">
        <f t="shared" si="66"/>
        <v>8</v>
      </c>
      <c r="L887" t="str">
        <f t="shared" si="67"/>
        <v>Nov</v>
      </c>
      <c r="M887">
        <f t="shared" si="68"/>
        <v>2023</v>
      </c>
      <c r="N887">
        <f t="shared" si="69"/>
        <v>0</v>
      </c>
    </row>
    <row r="888" spans="1:14" x14ac:dyDescent="0.3">
      <c r="A888" t="s">
        <v>1917</v>
      </c>
      <c r="B888" t="s">
        <v>1918</v>
      </c>
      <c r="C888" s="1">
        <v>10621</v>
      </c>
      <c r="D888" t="s">
        <v>21</v>
      </c>
      <c r="E888" t="s">
        <v>1214</v>
      </c>
      <c r="F888" t="s">
        <v>84</v>
      </c>
      <c r="G888" t="s">
        <v>1225</v>
      </c>
      <c r="H888" s="1">
        <v>45122</v>
      </c>
      <c r="I888" s="1">
        <v>45129</v>
      </c>
      <c r="J888" s="3">
        <v>670.27</v>
      </c>
      <c r="K888" s="4">
        <f t="shared" si="66"/>
        <v>7</v>
      </c>
      <c r="L888" t="str">
        <f t="shared" si="67"/>
        <v>Jul</v>
      </c>
      <c r="M888">
        <f t="shared" si="68"/>
        <v>2023</v>
      </c>
      <c r="N888">
        <f t="shared" si="69"/>
        <v>94</v>
      </c>
    </row>
    <row r="889" spans="1:14" x14ac:dyDescent="0.3">
      <c r="A889" t="s">
        <v>1919</v>
      </c>
      <c r="B889" t="s">
        <v>1920</v>
      </c>
      <c r="C889" s="1">
        <v>23739</v>
      </c>
      <c r="D889" t="s">
        <v>21</v>
      </c>
      <c r="E889" t="s">
        <v>1772</v>
      </c>
      <c r="F889" t="s">
        <v>1855</v>
      </c>
      <c r="G889" t="s">
        <v>1883</v>
      </c>
      <c r="H889" s="1">
        <v>45105</v>
      </c>
      <c r="I889" s="1">
        <v>45119</v>
      </c>
      <c r="J889" s="3">
        <v>669.57</v>
      </c>
      <c r="K889" s="4">
        <f xml:space="preserve"> I889-H889</f>
        <v>14</v>
      </c>
      <c r="L889" t="str">
        <f t="shared" si="67"/>
        <v>Jun</v>
      </c>
      <c r="M889">
        <f t="shared" si="68"/>
        <v>2023</v>
      </c>
      <c r="N889">
        <f t="shared" si="69"/>
        <v>58</v>
      </c>
    </row>
    <row r="890" spans="1:14" x14ac:dyDescent="0.3">
      <c r="A890" t="s">
        <v>1921</v>
      </c>
      <c r="B890" t="s">
        <v>1922</v>
      </c>
      <c r="C890" s="1">
        <v>42555</v>
      </c>
      <c r="D890" t="s">
        <v>21</v>
      </c>
      <c r="E890" t="s">
        <v>1777</v>
      </c>
      <c r="F890" t="s">
        <v>1778</v>
      </c>
      <c r="G890" t="s">
        <v>1779</v>
      </c>
      <c r="H890" s="1">
        <v>44463</v>
      </c>
      <c r="I890" s="1">
        <v>44478</v>
      </c>
      <c r="J890" s="3">
        <v>658.07</v>
      </c>
      <c r="K890" s="4">
        <f t="shared" ref="K890:K903" si="70" xml:space="preserve"> I890-H890</f>
        <v>15</v>
      </c>
      <c r="L890" t="str">
        <f t="shared" si="67"/>
        <v>Sep</v>
      </c>
      <c r="M890">
        <f t="shared" si="68"/>
        <v>2021</v>
      </c>
      <c r="N890">
        <f t="shared" si="69"/>
        <v>5</v>
      </c>
    </row>
    <row r="891" spans="1:14" x14ac:dyDescent="0.3">
      <c r="A891" t="s">
        <v>1923</v>
      </c>
      <c r="B891" t="s">
        <v>1924</v>
      </c>
      <c r="C891" s="1">
        <v>24534</v>
      </c>
      <c r="D891" t="s">
        <v>15</v>
      </c>
      <c r="E891" t="s">
        <v>1138</v>
      </c>
      <c r="F891" t="s">
        <v>1243</v>
      </c>
      <c r="G891" t="s">
        <v>1199</v>
      </c>
      <c r="H891" s="1">
        <v>45067</v>
      </c>
      <c r="I891" s="1">
        <v>45092</v>
      </c>
      <c r="J891" s="3">
        <v>651.95000000000005</v>
      </c>
      <c r="K891" s="4">
        <f t="shared" si="70"/>
        <v>25</v>
      </c>
      <c r="L891" t="str">
        <f t="shared" si="67"/>
        <v>May</v>
      </c>
      <c r="M891">
        <f t="shared" si="68"/>
        <v>2023</v>
      </c>
      <c r="N891">
        <f t="shared" si="69"/>
        <v>56</v>
      </c>
    </row>
    <row r="892" spans="1:14" x14ac:dyDescent="0.3">
      <c r="A892" s="2" t="s">
        <v>1925</v>
      </c>
      <c r="B892" t="s">
        <v>1926</v>
      </c>
      <c r="C892" s="1">
        <v>33648</v>
      </c>
      <c r="D892" t="s">
        <v>15</v>
      </c>
      <c r="E892" t="s">
        <v>1161</v>
      </c>
      <c r="F892" t="s">
        <v>1162</v>
      </c>
      <c r="G892" t="s">
        <v>1248</v>
      </c>
      <c r="H892" s="1">
        <v>44459</v>
      </c>
      <c r="I892" s="1">
        <v>44470</v>
      </c>
      <c r="J892" s="3">
        <v>649.54</v>
      </c>
      <c r="K892" s="4">
        <f t="shared" si="70"/>
        <v>11</v>
      </c>
      <c r="L892" t="str">
        <f t="shared" si="67"/>
        <v>Sep</v>
      </c>
      <c r="M892">
        <f t="shared" si="68"/>
        <v>2021</v>
      </c>
      <c r="N892">
        <f t="shared" si="69"/>
        <v>29</v>
      </c>
    </row>
    <row r="893" spans="1:14" x14ac:dyDescent="0.3">
      <c r="A893" t="s">
        <v>1927</v>
      </c>
      <c r="B893" t="s">
        <v>1928</v>
      </c>
      <c r="C893" s="1">
        <v>32998</v>
      </c>
      <c r="D893" t="s">
        <v>21</v>
      </c>
      <c r="E893" t="s">
        <v>1777</v>
      </c>
      <c r="F893" t="s">
        <v>1778</v>
      </c>
      <c r="G893" t="s">
        <v>1782</v>
      </c>
      <c r="H893" s="1">
        <v>45417</v>
      </c>
      <c r="I893" s="1">
        <v>45429</v>
      </c>
      <c r="J893" s="3">
        <v>648.09</v>
      </c>
      <c r="K893" s="4">
        <f t="shared" si="70"/>
        <v>12</v>
      </c>
      <c r="L893" t="str">
        <f t="shared" si="67"/>
        <v>May</v>
      </c>
      <c r="M893">
        <f t="shared" si="68"/>
        <v>2024</v>
      </c>
      <c r="N893">
        <f t="shared" si="69"/>
        <v>34</v>
      </c>
    </row>
    <row r="894" spans="1:14" x14ac:dyDescent="0.3">
      <c r="A894" t="s">
        <v>1929</v>
      </c>
      <c r="B894" t="s">
        <v>1930</v>
      </c>
      <c r="C894" s="1">
        <v>37702</v>
      </c>
      <c r="D894" t="s">
        <v>15</v>
      </c>
      <c r="E894" t="s">
        <v>1772</v>
      </c>
      <c r="F894" t="s">
        <v>1855</v>
      </c>
      <c r="G894" t="s">
        <v>1860</v>
      </c>
      <c r="H894" s="1">
        <v>44490</v>
      </c>
      <c r="I894" s="1">
        <v>44508</v>
      </c>
      <c r="J894" s="3">
        <v>647.42999999999995</v>
      </c>
      <c r="K894" s="4">
        <f t="shared" si="70"/>
        <v>18</v>
      </c>
      <c r="L894" t="str">
        <f t="shared" si="67"/>
        <v>Oct</v>
      </c>
      <c r="M894">
        <f t="shared" si="68"/>
        <v>2021</v>
      </c>
      <c r="N894">
        <f t="shared" si="69"/>
        <v>18</v>
      </c>
    </row>
    <row r="895" spans="1:14" x14ac:dyDescent="0.3">
      <c r="A895" t="s">
        <v>1931</v>
      </c>
      <c r="B895" t="s">
        <v>1932</v>
      </c>
      <c r="C895" s="1">
        <v>17451</v>
      </c>
      <c r="D895" t="s">
        <v>21</v>
      </c>
      <c r="E895" t="s">
        <v>1171</v>
      </c>
      <c r="F895" t="s">
        <v>1128</v>
      </c>
      <c r="G895" t="s">
        <v>1184</v>
      </c>
      <c r="H895" s="1">
        <v>44965</v>
      </c>
      <c r="I895" s="1">
        <v>44994</v>
      </c>
      <c r="J895" s="3">
        <v>639.29999999999995</v>
      </c>
      <c r="K895" s="4">
        <f t="shared" si="70"/>
        <v>29</v>
      </c>
      <c r="L895" t="str">
        <f t="shared" si="67"/>
        <v>Feb</v>
      </c>
      <c r="M895">
        <f t="shared" si="68"/>
        <v>2023</v>
      </c>
      <c r="N895">
        <f t="shared" si="69"/>
        <v>75</v>
      </c>
    </row>
    <row r="896" spans="1:14" x14ac:dyDescent="0.3">
      <c r="A896" t="s">
        <v>1933</v>
      </c>
      <c r="B896" t="s">
        <v>1934</v>
      </c>
      <c r="C896" s="1">
        <v>37034</v>
      </c>
      <c r="D896" t="s">
        <v>21</v>
      </c>
      <c r="E896" t="s">
        <v>1777</v>
      </c>
      <c r="F896" t="s">
        <v>1778</v>
      </c>
      <c r="G896" t="s">
        <v>1779</v>
      </c>
      <c r="H896" s="1">
        <v>44771</v>
      </c>
      <c r="I896" s="1">
        <v>44799</v>
      </c>
      <c r="J896" s="3">
        <v>637.21</v>
      </c>
      <c r="K896" s="4">
        <f t="shared" si="70"/>
        <v>28</v>
      </c>
      <c r="L896" t="str">
        <f t="shared" si="67"/>
        <v>Jul</v>
      </c>
      <c r="M896">
        <f t="shared" si="68"/>
        <v>2022</v>
      </c>
      <c r="N896">
        <f t="shared" si="69"/>
        <v>21</v>
      </c>
    </row>
    <row r="897" spans="1:14" x14ac:dyDescent="0.3">
      <c r="A897" t="s">
        <v>1935</v>
      </c>
      <c r="B897" t="s">
        <v>1936</v>
      </c>
      <c r="C897" s="1">
        <v>10160</v>
      </c>
      <c r="D897" t="s">
        <v>21</v>
      </c>
      <c r="E897" t="s">
        <v>1161</v>
      </c>
      <c r="F897" t="s">
        <v>1162</v>
      </c>
      <c r="G897" t="s">
        <v>1248</v>
      </c>
      <c r="H897" s="1">
        <v>45326</v>
      </c>
      <c r="I897" s="1">
        <v>45356</v>
      </c>
      <c r="J897" s="3">
        <v>635.23</v>
      </c>
      <c r="K897" s="4">
        <f t="shared" si="70"/>
        <v>30</v>
      </c>
      <c r="L897" t="str">
        <f t="shared" si="67"/>
        <v>Feb</v>
      </c>
      <c r="M897">
        <f t="shared" si="68"/>
        <v>2024</v>
      </c>
      <c r="N897">
        <f t="shared" si="69"/>
        <v>96</v>
      </c>
    </row>
    <row r="898" spans="1:14" x14ac:dyDescent="0.3">
      <c r="A898" t="s">
        <v>1937</v>
      </c>
      <c r="B898" t="s">
        <v>1938</v>
      </c>
      <c r="C898" s="1">
        <v>42558</v>
      </c>
      <c r="D898" t="s">
        <v>21</v>
      </c>
      <c r="E898" t="s">
        <v>1777</v>
      </c>
      <c r="F898" t="s">
        <v>1778</v>
      </c>
      <c r="G898" t="s">
        <v>1802</v>
      </c>
      <c r="H898" s="1">
        <v>45000</v>
      </c>
      <c r="I898" s="1">
        <v>45019</v>
      </c>
      <c r="J898" s="3">
        <v>619.52</v>
      </c>
      <c r="K898" s="4">
        <f t="shared" si="70"/>
        <v>19</v>
      </c>
      <c r="L898" t="str">
        <f t="shared" si="67"/>
        <v>Mar</v>
      </c>
      <c r="M898">
        <f t="shared" si="68"/>
        <v>2023</v>
      </c>
      <c r="N898">
        <f t="shared" si="69"/>
        <v>6</v>
      </c>
    </row>
    <row r="899" spans="1:14" x14ac:dyDescent="0.3">
      <c r="A899" t="s">
        <v>1939</v>
      </c>
      <c r="B899" t="s">
        <v>1940</v>
      </c>
      <c r="C899" s="1">
        <v>27577</v>
      </c>
      <c r="D899" t="s">
        <v>21</v>
      </c>
      <c r="E899" t="s">
        <v>1777</v>
      </c>
      <c r="F899" t="s">
        <v>1801</v>
      </c>
      <c r="G899" t="s">
        <v>1782</v>
      </c>
      <c r="H899" s="1">
        <v>45145</v>
      </c>
      <c r="I899" s="1">
        <v>45175</v>
      </c>
      <c r="J899" s="3">
        <v>614.26</v>
      </c>
      <c r="K899" s="4">
        <f t="shared" si="70"/>
        <v>30</v>
      </c>
      <c r="L899" t="str">
        <f t="shared" si="67"/>
        <v>Aug</v>
      </c>
      <c r="M899">
        <f t="shared" si="68"/>
        <v>2023</v>
      </c>
      <c r="N899">
        <f t="shared" si="69"/>
        <v>48</v>
      </c>
    </row>
    <row r="900" spans="1:14" x14ac:dyDescent="0.3">
      <c r="A900" t="s">
        <v>1941</v>
      </c>
      <c r="B900" t="s">
        <v>1942</v>
      </c>
      <c r="C900" s="1">
        <v>10574</v>
      </c>
      <c r="D900" t="s">
        <v>21</v>
      </c>
      <c r="E900" t="s">
        <v>1147</v>
      </c>
      <c r="F900" t="s">
        <v>1128</v>
      </c>
      <c r="G900" t="s">
        <v>1140</v>
      </c>
      <c r="H900" s="1">
        <v>45328</v>
      </c>
      <c r="I900" s="1">
        <v>45334</v>
      </c>
      <c r="J900" s="3">
        <v>607.32000000000005</v>
      </c>
      <c r="K900" s="4">
        <f t="shared" si="70"/>
        <v>6</v>
      </c>
      <c r="L900" t="str">
        <f t="shared" si="67"/>
        <v>Feb</v>
      </c>
      <c r="M900">
        <f t="shared" si="68"/>
        <v>2024</v>
      </c>
      <c r="N900">
        <f t="shared" si="69"/>
        <v>95</v>
      </c>
    </row>
    <row r="901" spans="1:14" x14ac:dyDescent="0.3">
      <c r="A901" s="2" t="s">
        <v>1943</v>
      </c>
      <c r="B901" t="s">
        <v>1944</v>
      </c>
      <c r="C901" s="1">
        <v>19449</v>
      </c>
      <c r="D901" t="s">
        <v>21</v>
      </c>
      <c r="E901" t="s">
        <v>1772</v>
      </c>
      <c r="F901" t="s">
        <v>1773</v>
      </c>
      <c r="G901" t="s">
        <v>1774</v>
      </c>
      <c r="H901" s="1">
        <v>44797</v>
      </c>
      <c r="I901" s="1">
        <v>44814</v>
      </c>
      <c r="J901" s="3">
        <v>606.69000000000005</v>
      </c>
      <c r="K901" s="4">
        <f t="shared" si="70"/>
        <v>17</v>
      </c>
      <c r="L901" t="str">
        <f t="shared" si="67"/>
        <v>Aug</v>
      </c>
      <c r="M901">
        <f t="shared" si="68"/>
        <v>2022</v>
      </c>
      <c r="N901">
        <f t="shared" si="69"/>
        <v>69</v>
      </c>
    </row>
    <row r="902" spans="1:14" x14ac:dyDescent="0.3">
      <c r="A902" t="s">
        <v>1945</v>
      </c>
      <c r="B902" t="s">
        <v>1946</v>
      </c>
      <c r="C902" s="1">
        <v>31475</v>
      </c>
      <c r="D902" t="s">
        <v>21</v>
      </c>
      <c r="E902" t="s">
        <v>1161</v>
      </c>
      <c r="F902" t="s">
        <v>683</v>
      </c>
      <c r="G902" t="s">
        <v>1248</v>
      </c>
      <c r="H902" s="1">
        <v>45283</v>
      </c>
      <c r="I902" s="1">
        <v>45298</v>
      </c>
      <c r="J902" s="3">
        <v>603.32000000000005</v>
      </c>
      <c r="K902" s="4">
        <f t="shared" si="70"/>
        <v>15</v>
      </c>
      <c r="L902" t="str">
        <f t="shared" si="67"/>
        <v>Dec</v>
      </c>
      <c r="M902">
        <f t="shared" si="68"/>
        <v>2023</v>
      </c>
      <c r="N902">
        <f t="shared" si="69"/>
        <v>37</v>
      </c>
    </row>
    <row r="903" spans="1:14" x14ac:dyDescent="0.3">
      <c r="A903" t="s">
        <v>1947</v>
      </c>
      <c r="B903" t="s">
        <v>1948</v>
      </c>
      <c r="C903" s="1">
        <v>9064</v>
      </c>
      <c r="D903" t="s">
        <v>15</v>
      </c>
      <c r="E903" t="s">
        <v>1161</v>
      </c>
      <c r="F903" t="s">
        <v>683</v>
      </c>
      <c r="G903" t="s">
        <v>1163</v>
      </c>
      <c r="H903" s="1">
        <v>44596</v>
      </c>
      <c r="I903" s="1">
        <v>44604</v>
      </c>
      <c r="J903" s="3">
        <v>595.41999999999996</v>
      </c>
      <c r="K903" s="4">
        <f t="shared" si="70"/>
        <v>8</v>
      </c>
      <c r="L903" t="str">
        <f t="shared" si="67"/>
        <v>Feb</v>
      </c>
      <c r="M903">
        <f t="shared" si="68"/>
        <v>2022</v>
      </c>
      <c r="N903">
        <f t="shared" si="69"/>
        <v>97</v>
      </c>
    </row>
    <row r="904" spans="1:14" x14ac:dyDescent="0.3">
      <c r="A904" t="s">
        <v>1949</v>
      </c>
      <c r="B904" t="s">
        <v>1950</v>
      </c>
      <c r="C904" s="1">
        <v>26933</v>
      </c>
      <c r="D904" t="s">
        <v>21</v>
      </c>
      <c r="E904" t="s">
        <v>1777</v>
      </c>
      <c r="F904" t="s">
        <v>1778</v>
      </c>
      <c r="G904" t="s">
        <v>1782</v>
      </c>
      <c r="H904" s="1">
        <v>45335</v>
      </c>
      <c r="I904" s="1">
        <v>45340</v>
      </c>
      <c r="J904" s="3">
        <v>591.62</v>
      </c>
      <c r="K904" s="4">
        <f xml:space="preserve"> I904-H904</f>
        <v>5</v>
      </c>
      <c r="L904" t="str">
        <f t="shared" si="67"/>
        <v>Feb</v>
      </c>
      <c r="M904">
        <f t="shared" si="68"/>
        <v>2024</v>
      </c>
      <c r="N904">
        <f t="shared" si="69"/>
        <v>50</v>
      </c>
    </row>
    <row r="905" spans="1:14" x14ac:dyDescent="0.3">
      <c r="A905" t="s">
        <v>1951</v>
      </c>
      <c r="B905" t="s">
        <v>1952</v>
      </c>
      <c r="C905" s="1">
        <v>32992</v>
      </c>
      <c r="D905" t="s">
        <v>21</v>
      </c>
      <c r="E905" t="s">
        <v>1138</v>
      </c>
      <c r="F905" t="s">
        <v>1243</v>
      </c>
      <c r="G905" t="s">
        <v>1232</v>
      </c>
      <c r="H905" s="1">
        <v>44933</v>
      </c>
      <c r="I905" s="1">
        <v>44943</v>
      </c>
      <c r="J905" s="3">
        <v>558.25</v>
      </c>
      <c r="K905" s="4">
        <f t="shared" ref="K905:K949" si="71" xml:space="preserve"> I905-H905</f>
        <v>10</v>
      </c>
      <c r="L905" t="str">
        <f t="shared" si="67"/>
        <v>Jan</v>
      </c>
      <c r="M905">
        <f t="shared" si="68"/>
        <v>2023</v>
      </c>
      <c r="N905">
        <f t="shared" si="69"/>
        <v>32</v>
      </c>
    </row>
    <row r="906" spans="1:14" x14ac:dyDescent="0.3">
      <c r="A906" t="s">
        <v>1953</v>
      </c>
      <c r="B906" t="s">
        <v>1954</v>
      </c>
      <c r="C906" s="1">
        <v>16544</v>
      </c>
      <c r="D906" t="s">
        <v>21</v>
      </c>
      <c r="E906" t="s">
        <v>1777</v>
      </c>
      <c r="F906" t="s">
        <v>1778</v>
      </c>
      <c r="G906" t="s">
        <v>1802</v>
      </c>
      <c r="H906" s="1">
        <v>44428</v>
      </c>
      <c r="I906" s="1">
        <v>44438</v>
      </c>
      <c r="J906" s="3">
        <v>556.92999999999995</v>
      </c>
      <c r="K906" s="4">
        <f t="shared" si="71"/>
        <v>10</v>
      </c>
      <c r="L906" t="str">
        <f t="shared" si="67"/>
        <v>Aug</v>
      </c>
      <c r="M906">
        <f t="shared" si="68"/>
        <v>2021</v>
      </c>
      <c r="N906">
        <f t="shared" si="69"/>
        <v>76</v>
      </c>
    </row>
    <row r="907" spans="1:14" x14ac:dyDescent="0.3">
      <c r="A907" t="s">
        <v>1955</v>
      </c>
      <c r="B907" t="s">
        <v>1956</v>
      </c>
      <c r="C907" s="1">
        <v>13094</v>
      </c>
      <c r="D907" t="s">
        <v>15</v>
      </c>
      <c r="E907" t="s">
        <v>1772</v>
      </c>
      <c r="F907" t="s">
        <v>1855</v>
      </c>
      <c r="G907" t="s">
        <v>1883</v>
      </c>
      <c r="H907" s="1">
        <v>45165</v>
      </c>
      <c r="I907" s="1">
        <v>45180</v>
      </c>
      <c r="J907" s="3">
        <v>556.72</v>
      </c>
      <c r="K907" s="4">
        <f t="shared" si="71"/>
        <v>15</v>
      </c>
      <c r="L907" t="str">
        <f t="shared" si="67"/>
        <v>Aug</v>
      </c>
      <c r="M907">
        <f t="shared" si="68"/>
        <v>2023</v>
      </c>
      <c r="N907">
        <f t="shared" si="69"/>
        <v>87</v>
      </c>
    </row>
    <row r="908" spans="1:14" x14ac:dyDescent="0.3">
      <c r="A908" t="s">
        <v>1957</v>
      </c>
      <c r="B908" t="s">
        <v>1958</v>
      </c>
      <c r="C908" s="1">
        <v>22424</v>
      </c>
      <c r="D908" t="s">
        <v>21</v>
      </c>
      <c r="E908" t="s">
        <v>1214</v>
      </c>
      <c r="F908" t="s">
        <v>1215</v>
      </c>
      <c r="G908" t="s">
        <v>1694</v>
      </c>
      <c r="H908" s="1">
        <v>45282</v>
      </c>
      <c r="I908" s="1">
        <v>45291</v>
      </c>
      <c r="J908" s="3">
        <v>553.15</v>
      </c>
      <c r="K908" s="4">
        <f t="shared" si="71"/>
        <v>9</v>
      </c>
      <c r="L908" t="str">
        <f t="shared" si="67"/>
        <v>Dec</v>
      </c>
      <c r="M908">
        <f t="shared" si="68"/>
        <v>2023</v>
      </c>
      <c r="N908">
        <f t="shared" si="69"/>
        <v>62</v>
      </c>
    </row>
    <row r="909" spans="1:14" x14ac:dyDescent="0.3">
      <c r="A909" t="s">
        <v>1959</v>
      </c>
      <c r="B909" t="s">
        <v>1960</v>
      </c>
      <c r="C909" s="1">
        <v>15397</v>
      </c>
      <c r="D909" t="s">
        <v>15</v>
      </c>
      <c r="E909" t="s">
        <v>1772</v>
      </c>
      <c r="F909" t="s">
        <v>1855</v>
      </c>
      <c r="G909" t="s">
        <v>1883</v>
      </c>
      <c r="H909" s="1">
        <v>44584</v>
      </c>
      <c r="I909" s="1">
        <v>44595</v>
      </c>
      <c r="J909" s="3">
        <v>547.85</v>
      </c>
      <c r="K909" s="4">
        <f t="shared" si="71"/>
        <v>11</v>
      </c>
      <c r="L909" t="str">
        <f t="shared" si="67"/>
        <v>Jan</v>
      </c>
      <c r="M909">
        <f t="shared" si="68"/>
        <v>2022</v>
      </c>
      <c r="N909">
        <f t="shared" si="69"/>
        <v>79</v>
      </c>
    </row>
    <row r="910" spans="1:14" x14ac:dyDescent="0.3">
      <c r="A910" t="s">
        <v>1961</v>
      </c>
      <c r="B910" t="s">
        <v>1962</v>
      </c>
      <c r="C910" s="1">
        <v>37237</v>
      </c>
      <c r="D910" t="s">
        <v>21</v>
      </c>
      <c r="E910" t="s">
        <v>1772</v>
      </c>
      <c r="F910" t="s">
        <v>1773</v>
      </c>
      <c r="G910" t="s">
        <v>1774</v>
      </c>
      <c r="H910" s="1">
        <v>45400</v>
      </c>
      <c r="I910" s="1">
        <v>45418</v>
      </c>
      <c r="J910" s="3">
        <v>547.52</v>
      </c>
      <c r="K910" s="4">
        <f t="shared" si="71"/>
        <v>18</v>
      </c>
      <c r="L910" t="str">
        <f t="shared" si="67"/>
        <v>Apr</v>
      </c>
      <c r="M910">
        <f t="shared" si="68"/>
        <v>2024</v>
      </c>
      <c r="N910">
        <f t="shared" si="69"/>
        <v>22</v>
      </c>
    </row>
    <row r="911" spans="1:14" x14ac:dyDescent="0.3">
      <c r="A911" t="s">
        <v>1963</v>
      </c>
      <c r="B911" t="s">
        <v>1964</v>
      </c>
      <c r="C911" s="1">
        <v>44187</v>
      </c>
      <c r="D911" t="s">
        <v>21</v>
      </c>
      <c r="E911" t="s">
        <v>1171</v>
      </c>
      <c r="F911" t="s">
        <v>1128</v>
      </c>
      <c r="G911" t="s">
        <v>1172</v>
      </c>
      <c r="H911" s="1">
        <v>45456</v>
      </c>
      <c r="I911" s="1">
        <v>45479</v>
      </c>
      <c r="J911" s="3">
        <v>539.84</v>
      </c>
      <c r="K911" s="4">
        <f t="shared" si="71"/>
        <v>23</v>
      </c>
      <c r="L911" t="str">
        <f t="shared" si="67"/>
        <v>Jun</v>
      </c>
      <c r="M911">
        <f t="shared" si="68"/>
        <v>2024</v>
      </c>
      <c r="N911">
        <f t="shared" si="69"/>
        <v>3</v>
      </c>
    </row>
    <row r="912" spans="1:14" x14ac:dyDescent="0.3">
      <c r="A912" t="s">
        <v>1965</v>
      </c>
      <c r="B912" t="s">
        <v>1966</v>
      </c>
      <c r="C912" s="1">
        <v>36093</v>
      </c>
      <c r="D912" t="s">
        <v>21</v>
      </c>
      <c r="E912" t="s">
        <v>1161</v>
      </c>
      <c r="F912" t="s">
        <v>1162</v>
      </c>
      <c r="G912" t="s">
        <v>1248</v>
      </c>
      <c r="H912" s="1">
        <v>44851</v>
      </c>
      <c r="I912" s="1">
        <v>44874</v>
      </c>
      <c r="J912" s="3">
        <v>537.79</v>
      </c>
      <c r="K912" s="4">
        <f t="shared" si="71"/>
        <v>23</v>
      </c>
      <c r="L912" t="str">
        <f t="shared" si="67"/>
        <v>Oct</v>
      </c>
      <c r="M912">
        <f t="shared" si="68"/>
        <v>2022</v>
      </c>
      <c r="N912">
        <f t="shared" si="69"/>
        <v>23</v>
      </c>
    </row>
    <row r="913" spans="1:14" x14ac:dyDescent="0.3">
      <c r="A913" t="s">
        <v>1967</v>
      </c>
      <c r="B913" t="s">
        <v>1968</v>
      </c>
      <c r="C913" s="1">
        <v>36995</v>
      </c>
      <c r="D913" t="s">
        <v>15</v>
      </c>
      <c r="E913" t="s">
        <v>1777</v>
      </c>
      <c r="F913" t="s">
        <v>1778</v>
      </c>
      <c r="G913" t="s">
        <v>1802</v>
      </c>
      <c r="H913" s="1">
        <v>44689</v>
      </c>
      <c r="I913" s="1">
        <v>44707</v>
      </c>
      <c r="J913" s="3">
        <v>535.4</v>
      </c>
      <c r="K913" s="4">
        <f t="shared" si="71"/>
        <v>18</v>
      </c>
      <c r="L913" t="str">
        <f t="shared" si="67"/>
        <v>May</v>
      </c>
      <c r="M913">
        <f t="shared" si="68"/>
        <v>2022</v>
      </c>
      <c r="N913">
        <f t="shared" si="69"/>
        <v>21</v>
      </c>
    </row>
    <row r="914" spans="1:14" x14ac:dyDescent="0.3">
      <c r="A914" t="s">
        <v>1969</v>
      </c>
      <c r="B914" t="s">
        <v>1970</v>
      </c>
      <c r="C914" s="1">
        <v>20483</v>
      </c>
      <c r="D914" t="s">
        <v>21</v>
      </c>
      <c r="E914" t="s">
        <v>1772</v>
      </c>
      <c r="F914" t="s">
        <v>1855</v>
      </c>
      <c r="G914" t="s">
        <v>1860</v>
      </c>
      <c r="H914" s="1">
        <v>44855</v>
      </c>
      <c r="I914" s="1">
        <v>44885</v>
      </c>
      <c r="J914" s="3">
        <v>522.17999999999995</v>
      </c>
      <c r="K914" s="4">
        <f t="shared" si="71"/>
        <v>30</v>
      </c>
      <c r="L914" t="str">
        <f t="shared" si="67"/>
        <v>Oct</v>
      </c>
      <c r="M914">
        <f t="shared" si="68"/>
        <v>2022</v>
      </c>
      <c r="N914">
        <f t="shared" si="69"/>
        <v>66</v>
      </c>
    </row>
    <row r="915" spans="1:14" x14ac:dyDescent="0.3">
      <c r="A915" t="s">
        <v>1971</v>
      </c>
      <c r="B915" t="s">
        <v>1972</v>
      </c>
      <c r="C915" s="1">
        <v>28428</v>
      </c>
      <c r="D915" t="s">
        <v>21</v>
      </c>
      <c r="E915" t="s">
        <v>1161</v>
      </c>
      <c r="F915" t="s">
        <v>683</v>
      </c>
      <c r="G915" t="s">
        <v>1163</v>
      </c>
      <c r="H915" s="1">
        <v>45401</v>
      </c>
      <c r="I915" s="1">
        <v>45418</v>
      </c>
      <c r="J915" s="3">
        <v>521.58000000000004</v>
      </c>
      <c r="K915" s="4">
        <f t="shared" si="71"/>
        <v>17</v>
      </c>
      <c r="L915" t="str">
        <f t="shared" si="67"/>
        <v>Apr</v>
      </c>
      <c r="M915">
        <f t="shared" si="68"/>
        <v>2024</v>
      </c>
      <c r="N915">
        <f t="shared" si="69"/>
        <v>46</v>
      </c>
    </row>
    <row r="916" spans="1:14" x14ac:dyDescent="0.3">
      <c r="A916" t="s">
        <v>1973</v>
      </c>
      <c r="B916" t="s">
        <v>1974</v>
      </c>
      <c r="C916" s="1">
        <v>36581</v>
      </c>
      <c r="D916" t="s">
        <v>21</v>
      </c>
      <c r="E916" t="s">
        <v>1772</v>
      </c>
      <c r="F916" t="s">
        <v>1773</v>
      </c>
      <c r="G916" t="s">
        <v>1774</v>
      </c>
      <c r="H916" s="1">
        <v>45228</v>
      </c>
      <c r="I916" s="1">
        <v>45240</v>
      </c>
      <c r="J916" s="3">
        <v>520.25</v>
      </c>
      <c r="K916" s="4">
        <f t="shared" si="71"/>
        <v>12</v>
      </c>
      <c r="L916" t="str">
        <f t="shared" si="67"/>
        <v>Oct</v>
      </c>
      <c r="M916">
        <f t="shared" si="68"/>
        <v>2023</v>
      </c>
      <c r="N916">
        <f t="shared" si="69"/>
        <v>23</v>
      </c>
    </row>
    <row r="917" spans="1:14" x14ac:dyDescent="0.3">
      <c r="A917" t="s">
        <v>1975</v>
      </c>
      <c r="B917" t="s">
        <v>1976</v>
      </c>
      <c r="C917" s="1">
        <v>10174</v>
      </c>
      <c r="D917" t="s">
        <v>21</v>
      </c>
      <c r="E917" t="s">
        <v>1147</v>
      </c>
      <c r="F917" t="s">
        <v>1235</v>
      </c>
      <c r="G917" t="s">
        <v>1140</v>
      </c>
      <c r="H917" s="1">
        <v>45200</v>
      </c>
      <c r="I917" s="1">
        <v>45214</v>
      </c>
      <c r="J917" s="3">
        <v>520.09</v>
      </c>
      <c r="K917" s="4">
        <f t="shared" si="71"/>
        <v>14</v>
      </c>
      <c r="L917" t="str">
        <f t="shared" si="67"/>
        <v>Oct</v>
      </c>
      <c r="M917">
        <f t="shared" si="68"/>
        <v>2023</v>
      </c>
      <c r="N917">
        <f t="shared" si="69"/>
        <v>95</v>
      </c>
    </row>
    <row r="918" spans="1:14" x14ac:dyDescent="0.3">
      <c r="A918" t="s">
        <v>1977</v>
      </c>
      <c r="B918" t="s">
        <v>1978</v>
      </c>
      <c r="C918" s="1">
        <v>41228</v>
      </c>
      <c r="D918" t="s">
        <v>21</v>
      </c>
      <c r="E918" t="s">
        <v>1171</v>
      </c>
      <c r="F918" t="s">
        <v>1128</v>
      </c>
      <c r="G918" t="s">
        <v>1179</v>
      </c>
      <c r="H918" s="1">
        <v>45458</v>
      </c>
      <c r="I918" s="1">
        <v>45459</v>
      </c>
      <c r="J918" s="3">
        <v>513.84</v>
      </c>
      <c r="K918" s="4">
        <f t="shared" si="71"/>
        <v>1</v>
      </c>
      <c r="L918" t="str">
        <f t="shared" si="67"/>
        <v>Jun</v>
      </c>
      <c r="M918">
        <f t="shared" si="68"/>
        <v>2024</v>
      </c>
      <c r="N918">
        <f t="shared" si="69"/>
        <v>11</v>
      </c>
    </row>
    <row r="919" spans="1:14" x14ac:dyDescent="0.3">
      <c r="A919" t="s">
        <v>1979</v>
      </c>
      <c r="B919" t="s">
        <v>1980</v>
      </c>
      <c r="C919" s="1">
        <v>34631</v>
      </c>
      <c r="D919" t="s">
        <v>15</v>
      </c>
      <c r="E919" t="s">
        <v>1777</v>
      </c>
      <c r="F919" t="s">
        <v>1801</v>
      </c>
      <c r="G919" t="s">
        <v>1779</v>
      </c>
      <c r="H919" s="1">
        <v>45284</v>
      </c>
      <c r="I919" s="1">
        <v>45305</v>
      </c>
      <c r="J919" s="3">
        <v>512.49</v>
      </c>
      <c r="K919" s="4">
        <f t="shared" si="71"/>
        <v>21</v>
      </c>
      <c r="L919" t="str">
        <f t="shared" si="67"/>
        <v>Dec</v>
      </c>
      <c r="M919">
        <f t="shared" si="68"/>
        <v>2023</v>
      </c>
      <c r="N919">
        <f t="shared" si="69"/>
        <v>29</v>
      </c>
    </row>
    <row r="920" spans="1:14" x14ac:dyDescent="0.3">
      <c r="A920" t="s">
        <v>1981</v>
      </c>
      <c r="B920" t="s">
        <v>1982</v>
      </c>
      <c r="C920" s="1">
        <v>11529</v>
      </c>
      <c r="D920" t="s">
        <v>21</v>
      </c>
      <c r="E920" t="s">
        <v>1983</v>
      </c>
      <c r="F920" t="s">
        <v>1984</v>
      </c>
      <c r="G920" t="s">
        <v>1985</v>
      </c>
      <c r="H920" s="1">
        <v>45153</v>
      </c>
      <c r="I920" s="1">
        <v>45171</v>
      </c>
      <c r="J920" s="3">
        <v>494.22</v>
      </c>
      <c r="K920" s="4">
        <f t="shared" si="71"/>
        <v>18</v>
      </c>
      <c r="L920" t="str">
        <f t="shared" si="67"/>
        <v>Aug</v>
      </c>
      <c r="M920">
        <f t="shared" si="68"/>
        <v>2023</v>
      </c>
      <c r="N920">
        <f t="shared" si="69"/>
        <v>92</v>
      </c>
    </row>
    <row r="921" spans="1:14" x14ac:dyDescent="0.3">
      <c r="A921" t="s">
        <v>1986</v>
      </c>
      <c r="B921" t="s">
        <v>1987</v>
      </c>
      <c r="C921" s="1">
        <v>36097</v>
      </c>
      <c r="D921" t="s">
        <v>21</v>
      </c>
      <c r="E921" t="s">
        <v>1777</v>
      </c>
      <c r="F921" t="s">
        <v>1778</v>
      </c>
      <c r="G921" t="s">
        <v>1782</v>
      </c>
      <c r="H921" s="1">
        <v>44818</v>
      </c>
      <c r="I921" s="1">
        <v>44824</v>
      </c>
      <c r="J921" s="3">
        <v>484.66</v>
      </c>
      <c r="K921" s="4">
        <f t="shared" si="71"/>
        <v>6</v>
      </c>
      <c r="L921" t="str">
        <f t="shared" si="67"/>
        <v>Sep</v>
      </c>
      <c r="M921">
        <f t="shared" si="68"/>
        <v>2022</v>
      </c>
      <c r="N921">
        <f t="shared" si="69"/>
        <v>23</v>
      </c>
    </row>
    <row r="922" spans="1:14" x14ac:dyDescent="0.3">
      <c r="A922" t="s">
        <v>1988</v>
      </c>
      <c r="B922" t="s">
        <v>1989</v>
      </c>
      <c r="C922" s="1">
        <v>25533</v>
      </c>
      <c r="D922" t="s">
        <v>15</v>
      </c>
      <c r="E922" t="s">
        <v>1983</v>
      </c>
      <c r="F922" t="s">
        <v>1128</v>
      </c>
      <c r="G922" t="s">
        <v>1990</v>
      </c>
      <c r="H922" s="1">
        <v>44504</v>
      </c>
      <c r="I922" s="1">
        <v>44514</v>
      </c>
      <c r="J922" s="3">
        <v>482.23</v>
      </c>
      <c r="K922" s="4">
        <f t="shared" si="71"/>
        <v>10</v>
      </c>
      <c r="L922" t="str">
        <f t="shared" si="67"/>
        <v>Nov</v>
      </c>
      <c r="M922">
        <f t="shared" si="68"/>
        <v>2021</v>
      </c>
      <c r="N922">
        <f t="shared" si="69"/>
        <v>51</v>
      </c>
    </row>
    <row r="923" spans="1:14" x14ac:dyDescent="0.3">
      <c r="A923" t="s">
        <v>1991</v>
      </c>
      <c r="B923" t="s">
        <v>1992</v>
      </c>
      <c r="C923" s="1">
        <v>22167</v>
      </c>
      <c r="D923" t="s">
        <v>21</v>
      </c>
      <c r="E923" t="s">
        <v>1983</v>
      </c>
      <c r="F923" t="s">
        <v>1128</v>
      </c>
      <c r="G923" t="s">
        <v>1990</v>
      </c>
      <c r="H923" s="1">
        <v>44790</v>
      </c>
      <c r="I923" s="1">
        <v>44807</v>
      </c>
      <c r="J923" s="3">
        <v>462.03</v>
      </c>
      <c r="K923" s="4">
        <f t="shared" si="71"/>
        <v>17</v>
      </c>
      <c r="L923" t="str">
        <f t="shared" si="67"/>
        <v>Aug</v>
      </c>
      <c r="M923">
        <f t="shared" si="68"/>
        <v>2022</v>
      </c>
      <c r="N923">
        <f t="shared" si="69"/>
        <v>61</v>
      </c>
    </row>
    <row r="924" spans="1:14" x14ac:dyDescent="0.3">
      <c r="A924" t="s">
        <v>1993</v>
      </c>
      <c r="B924" t="s">
        <v>1758</v>
      </c>
      <c r="C924" s="1">
        <v>32500</v>
      </c>
      <c r="D924" t="s">
        <v>15</v>
      </c>
      <c r="E924" t="s">
        <v>1772</v>
      </c>
      <c r="F924" t="s">
        <v>1773</v>
      </c>
      <c r="G924" t="s">
        <v>1883</v>
      </c>
      <c r="H924" s="1">
        <v>44590</v>
      </c>
      <c r="I924" s="1">
        <v>44595</v>
      </c>
      <c r="J924" s="3">
        <v>458.38</v>
      </c>
      <c r="K924" s="4">
        <f t="shared" si="71"/>
        <v>5</v>
      </c>
      <c r="L924" t="str">
        <f t="shared" si="67"/>
        <v>Jan</v>
      </c>
      <c r="M924">
        <f t="shared" si="68"/>
        <v>2022</v>
      </c>
      <c r="N924">
        <f t="shared" si="69"/>
        <v>33</v>
      </c>
    </row>
    <row r="925" spans="1:14" x14ac:dyDescent="0.3">
      <c r="A925" t="s">
        <v>1994</v>
      </c>
      <c r="B925" t="s">
        <v>1995</v>
      </c>
      <c r="C925" s="1">
        <v>35658</v>
      </c>
      <c r="D925" t="s">
        <v>15</v>
      </c>
      <c r="E925" t="s">
        <v>1777</v>
      </c>
      <c r="F925" t="s">
        <v>1801</v>
      </c>
      <c r="G925" t="s">
        <v>1802</v>
      </c>
      <c r="H925" s="1">
        <v>45017</v>
      </c>
      <c r="I925" s="1">
        <v>45043</v>
      </c>
      <c r="J925" s="3">
        <v>453.52</v>
      </c>
      <c r="K925" s="4">
        <f t="shared" si="71"/>
        <v>26</v>
      </c>
      <c r="L925" t="str">
        <f t="shared" si="67"/>
        <v>Apr</v>
      </c>
      <c r="M925">
        <f t="shared" si="68"/>
        <v>2023</v>
      </c>
      <c r="N925">
        <f t="shared" si="69"/>
        <v>25</v>
      </c>
    </row>
    <row r="926" spans="1:14" x14ac:dyDescent="0.3">
      <c r="A926" t="s">
        <v>1996</v>
      </c>
      <c r="B926" t="s">
        <v>1997</v>
      </c>
      <c r="C926" s="1">
        <v>19624</v>
      </c>
      <c r="D926" t="s">
        <v>15</v>
      </c>
      <c r="E926" t="s">
        <v>1772</v>
      </c>
      <c r="F926" t="s">
        <v>1855</v>
      </c>
      <c r="G926" t="s">
        <v>1860</v>
      </c>
      <c r="H926" s="1">
        <v>44807</v>
      </c>
      <c r="I926" s="1">
        <v>44828</v>
      </c>
      <c r="J926" s="3">
        <v>449.53</v>
      </c>
      <c r="K926" s="4">
        <f t="shared" si="71"/>
        <v>21</v>
      </c>
      <c r="L926" t="str">
        <f t="shared" si="67"/>
        <v>Sep</v>
      </c>
      <c r="M926">
        <f t="shared" si="68"/>
        <v>2022</v>
      </c>
      <c r="N926">
        <f t="shared" si="69"/>
        <v>68</v>
      </c>
    </row>
    <row r="927" spans="1:14" x14ac:dyDescent="0.3">
      <c r="A927" t="s">
        <v>1998</v>
      </c>
      <c r="B927" t="s">
        <v>1999</v>
      </c>
      <c r="C927" s="1">
        <v>13857</v>
      </c>
      <c r="D927" t="s">
        <v>15</v>
      </c>
      <c r="E927" t="s">
        <v>1772</v>
      </c>
      <c r="F927" t="s">
        <v>1773</v>
      </c>
      <c r="G927" t="s">
        <v>1883</v>
      </c>
      <c r="H927" s="1">
        <v>45039</v>
      </c>
      <c r="I927" s="1">
        <v>45056</v>
      </c>
      <c r="J927" s="3">
        <v>442.22</v>
      </c>
      <c r="K927" s="4">
        <f t="shared" si="71"/>
        <v>17</v>
      </c>
      <c r="L927" t="str">
        <f t="shared" si="67"/>
        <v>Apr</v>
      </c>
      <c r="M927">
        <f t="shared" si="68"/>
        <v>2023</v>
      </c>
      <c r="N927">
        <f t="shared" si="69"/>
        <v>85</v>
      </c>
    </row>
    <row r="928" spans="1:14" x14ac:dyDescent="0.3">
      <c r="A928" t="s">
        <v>2000</v>
      </c>
      <c r="B928" t="s">
        <v>2001</v>
      </c>
      <c r="C928" s="1">
        <v>23098</v>
      </c>
      <c r="D928" t="s">
        <v>15</v>
      </c>
      <c r="E928" t="s">
        <v>1983</v>
      </c>
      <c r="F928" t="s">
        <v>1984</v>
      </c>
      <c r="G928" t="s">
        <v>1985</v>
      </c>
      <c r="H928" s="1">
        <v>44927</v>
      </c>
      <c r="I928" s="1">
        <v>44932</v>
      </c>
      <c r="J928" s="3">
        <v>441.81</v>
      </c>
      <c r="K928" s="4">
        <f t="shared" si="71"/>
        <v>5</v>
      </c>
      <c r="L928" t="str">
        <f t="shared" si="67"/>
        <v>Jan</v>
      </c>
      <c r="M928">
        <f t="shared" si="68"/>
        <v>2023</v>
      </c>
      <c r="N928">
        <f t="shared" si="69"/>
        <v>59</v>
      </c>
    </row>
    <row r="929" spans="1:14" x14ac:dyDescent="0.3">
      <c r="A929" t="s">
        <v>2002</v>
      </c>
      <c r="B929" t="s">
        <v>2003</v>
      </c>
      <c r="C929" s="1">
        <v>10971</v>
      </c>
      <c r="D929" t="s">
        <v>15</v>
      </c>
      <c r="E929" t="s">
        <v>1777</v>
      </c>
      <c r="F929" t="s">
        <v>1801</v>
      </c>
      <c r="G929" t="s">
        <v>1779</v>
      </c>
      <c r="H929" s="1">
        <v>45459</v>
      </c>
      <c r="I929" s="1">
        <v>45489</v>
      </c>
      <c r="J929" s="3">
        <v>435.53</v>
      </c>
      <c r="K929" s="4">
        <f t="shared" si="71"/>
        <v>30</v>
      </c>
      <c r="L929" t="str">
        <f t="shared" si="67"/>
        <v>Jun</v>
      </c>
      <c r="M929">
        <f t="shared" si="68"/>
        <v>2024</v>
      </c>
      <c r="N929">
        <f t="shared" si="69"/>
        <v>94</v>
      </c>
    </row>
    <row r="930" spans="1:14" x14ac:dyDescent="0.3">
      <c r="A930" t="s">
        <v>2004</v>
      </c>
      <c r="B930" t="s">
        <v>2005</v>
      </c>
      <c r="C930" s="1">
        <v>13173</v>
      </c>
      <c r="D930" t="s">
        <v>15</v>
      </c>
      <c r="E930" t="s">
        <v>1772</v>
      </c>
      <c r="F930" t="s">
        <v>1855</v>
      </c>
      <c r="G930" t="s">
        <v>1860</v>
      </c>
      <c r="H930" s="1">
        <v>45049</v>
      </c>
      <c r="I930" s="1">
        <v>45055</v>
      </c>
      <c r="J930" s="3">
        <v>422.71</v>
      </c>
      <c r="K930" s="4">
        <f t="shared" si="71"/>
        <v>6</v>
      </c>
      <c r="L930" t="str">
        <f t="shared" si="67"/>
        <v>May</v>
      </c>
      <c r="M930">
        <f t="shared" si="68"/>
        <v>2023</v>
      </c>
      <c r="N930">
        <f t="shared" si="69"/>
        <v>87</v>
      </c>
    </row>
    <row r="931" spans="1:14" x14ac:dyDescent="0.3">
      <c r="A931" t="s">
        <v>2006</v>
      </c>
      <c r="B931" t="s">
        <v>2007</v>
      </c>
      <c r="C931" s="1">
        <v>34661</v>
      </c>
      <c r="D931" t="s">
        <v>21</v>
      </c>
      <c r="E931" t="s">
        <v>1777</v>
      </c>
      <c r="F931" t="s">
        <v>1801</v>
      </c>
      <c r="G931" t="s">
        <v>1782</v>
      </c>
      <c r="H931" s="1">
        <v>45103</v>
      </c>
      <c r="I931" s="1">
        <v>45129</v>
      </c>
      <c r="J931" s="3">
        <v>416.37</v>
      </c>
      <c r="K931" s="4">
        <f t="shared" si="71"/>
        <v>26</v>
      </c>
      <c r="L931" t="str">
        <f t="shared" si="67"/>
        <v>Jun</v>
      </c>
      <c r="M931">
        <f t="shared" si="68"/>
        <v>2023</v>
      </c>
      <c r="N931">
        <f t="shared" si="69"/>
        <v>28</v>
      </c>
    </row>
    <row r="932" spans="1:14" x14ac:dyDescent="0.3">
      <c r="A932" t="s">
        <v>2008</v>
      </c>
      <c r="B932" t="s">
        <v>2009</v>
      </c>
      <c r="C932" s="1">
        <v>29799</v>
      </c>
      <c r="D932" t="s">
        <v>21</v>
      </c>
      <c r="E932" t="s">
        <v>1777</v>
      </c>
      <c r="F932" t="s">
        <v>1778</v>
      </c>
      <c r="G932" t="s">
        <v>1802</v>
      </c>
      <c r="H932" s="1">
        <v>44816</v>
      </c>
      <c r="I932" s="1">
        <v>44846</v>
      </c>
      <c r="J932" s="3">
        <v>412.26</v>
      </c>
      <c r="K932" s="4">
        <f t="shared" si="71"/>
        <v>30</v>
      </c>
      <c r="L932" t="str">
        <f t="shared" si="67"/>
        <v>Sep</v>
      </c>
      <c r="M932">
        <f t="shared" si="68"/>
        <v>2022</v>
      </c>
      <c r="N932">
        <f t="shared" si="69"/>
        <v>41</v>
      </c>
    </row>
    <row r="933" spans="1:14" x14ac:dyDescent="0.3">
      <c r="A933" t="s">
        <v>2010</v>
      </c>
      <c r="B933" t="s">
        <v>2011</v>
      </c>
      <c r="C933" s="1">
        <v>34574</v>
      </c>
      <c r="D933" t="s">
        <v>15</v>
      </c>
      <c r="E933" t="s">
        <v>1772</v>
      </c>
      <c r="F933" t="s">
        <v>1855</v>
      </c>
      <c r="G933" t="s">
        <v>1883</v>
      </c>
      <c r="H933" s="1">
        <v>44964</v>
      </c>
      <c r="I933" s="1">
        <v>44991</v>
      </c>
      <c r="J933" s="3">
        <v>408.8</v>
      </c>
      <c r="K933" s="4">
        <f t="shared" si="71"/>
        <v>27</v>
      </c>
      <c r="L933" t="str">
        <f t="shared" si="67"/>
        <v>Feb</v>
      </c>
      <c r="M933">
        <f t="shared" si="68"/>
        <v>2023</v>
      </c>
      <c r="N933">
        <f t="shared" si="69"/>
        <v>28</v>
      </c>
    </row>
    <row r="934" spans="1:14" x14ac:dyDescent="0.3">
      <c r="A934" t="s">
        <v>2012</v>
      </c>
      <c r="B934" t="s">
        <v>2013</v>
      </c>
      <c r="C934" s="1">
        <v>18740</v>
      </c>
      <c r="D934" t="s">
        <v>21</v>
      </c>
      <c r="E934" t="s">
        <v>1777</v>
      </c>
      <c r="F934" t="s">
        <v>1778</v>
      </c>
      <c r="G934" t="s">
        <v>1782</v>
      </c>
      <c r="H934" s="1">
        <v>44458</v>
      </c>
      <c r="I934" s="1">
        <v>44469</v>
      </c>
      <c r="J934" s="3">
        <v>402.9</v>
      </c>
      <c r="K934" s="4">
        <f t="shared" si="71"/>
        <v>11</v>
      </c>
      <c r="L934" t="str">
        <f t="shared" si="67"/>
        <v>Sep</v>
      </c>
      <c r="M934">
        <f t="shared" si="68"/>
        <v>2021</v>
      </c>
      <c r="N934">
        <f t="shared" si="69"/>
        <v>70</v>
      </c>
    </row>
    <row r="935" spans="1:14" x14ac:dyDescent="0.3">
      <c r="A935" t="s">
        <v>2014</v>
      </c>
      <c r="B935" t="s">
        <v>2015</v>
      </c>
      <c r="C935" s="1">
        <v>30035</v>
      </c>
      <c r="D935" t="s">
        <v>21</v>
      </c>
      <c r="E935" t="s">
        <v>1772</v>
      </c>
      <c r="F935" t="s">
        <v>1855</v>
      </c>
      <c r="G935" t="s">
        <v>1860</v>
      </c>
      <c r="H935" s="1">
        <v>45354</v>
      </c>
      <c r="I935" s="1">
        <v>45362</v>
      </c>
      <c r="J935" s="3">
        <v>399.88</v>
      </c>
      <c r="K935" s="4">
        <f t="shared" si="71"/>
        <v>8</v>
      </c>
      <c r="L935" t="str">
        <f t="shared" si="67"/>
        <v>Mar</v>
      </c>
      <c r="M935">
        <f t="shared" si="68"/>
        <v>2024</v>
      </c>
      <c r="N935">
        <f t="shared" si="69"/>
        <v>41</v>
      </c>
    </row>
    <row r="936" spans="1:14" x14ac:dyDescent="0.3">
      <c r="A936" t="s">
        <v>2016</v>
      </c>
      <c r="B936" t="s">
        <v>2017</v>
      </c>
      <c r="C936" s="1">
        <v>20248</v>
      </c>
      <c r="D936" t="s">
        <v>21</v>
      </c>
      <c r="E936" t="s">
        <v>1983</v>
      </c>
      <c r="F936" t="s">
        <v>1984</v>
      </c>
      <c r="G936" t="s">
        <v>1990</v>
      </c>
      <c r="H936" s="1">
        <v>45205</v>
      </c>
      <c r="I936" s="1">
        <v>45211</v>
      </c>
      <c r="J936" s="3">
        <v>386.02</v>
      </c>
      <c r="K936" s="4">
        <f t="shared" si="71"/>
        <v>6</v>
      </c>
      <c r="L936" t="str">
        <f t="shared" si="67"/>
        <v>Oct</v>
      </c>
      <c r="M936">
        <f t="shared" si="68"/>
        <v>2023</v>
      </c>
      <c r="N936">
        <f t="shared" si="69"/>
        <v>68</v>
      </c>
    </row>
    <row r="937" spans="1:14" x14ac:dyDescent="0.3">
      <c r="A937" s="2" t="s">
        <v>2018</v>
      </c>
      <c r="B937" t="s">
        <v>2019</v>
      </c>
      <c r="C937" s="1">
        <v>30160</v>
      </c>
      <c r="D937" t="s">
        <v>21</v>
      </c>
      <c r="E937" t="s">
        <v>1983</v>
      </c>
      <c r="F937" t="s">
        <v>1128</v>
      </c>
      <c r="G937" t="s">
        <v>1985</v>
      </c>
      <c r="H937" s="1">
        <v>45270</v>
      </c>
      <c r="I937" s="1">
        <v>45271</v>
      </c>
      <c r="J937" s="3">
        <v>385.33</v>
      </c>
      <c r="K937" s="4">
        <f t="shared" si="71"/>
        <v>1</v>
      </c>
      <c r="L937" t="str">
        <f t="shared" ref="L937:L987" si="72">TEXT(H937,"mmm")</f>
        <v>Dec</v>
      </c>
      <c r="M937">
        <f t="shared" si="68"/>
        <v>2023</v>
      </c>
      <c r="N937">
        <f t="shared" si="69"/>
        <v>41</v>
      </c>
    </row>
    <row r="938" spans="1:14" x14ac:dyDescent="0.3">
      <c r="A938" t="s">
        <v>2020</v>
      </c>
      <c r="B938" t="s">
        <v>2021</v>
      </c>
      <c r="C938" s="1">
        <v>35468</v>
      </c>
      <c r="D938" t="s">
        <v>21</v>
      </c>
      <c r="E938" t="s">
        <v>1777</v>
      </c>
      <c r="F938" t="s">
        <v>1778</v>
      </c>
      <c r="G938" t="s">
        <v>1782</v>
      </c>
      <c r="H938" s="1">
        <v>44496</v>
      </c>
      <c r="I938" s="1">
        <v>44500</v>
      </c>
      <c r="J938" s="3">
        <v>383.38</v>
      </c>
      <c r="K938" s="4">
        <f t="shared" si="71"/>
        <v>4</v>
      </c>
      <c r="L938" t="str">
        <f t="shared" si="72"/>
        <v>Oct</v>
      </c>
      <c r="M938">
        <f t="shared" si="68"/>
        <v>2021</v>
      </c>
      <c r="N938">
        <f t="shared" si="69"/>
        <v>24</v>
      </c>
    </row>
    <row r="939" spans="1:14" x14ac:dyDescent="0.3">
      <c r="A939" t="s">
        <v>2022</v>
      </c>
      <c r="B939" t="s">
        <v>2023</v>
      </c>
      <c r="C939" s="1">
        <v>13125</v>
      </c>
      <c r="D939" t="s">
        <v>21</v>
      </c>
      <c r="E939" t="s">
        <v>1983</v>
      </c>
      <c r="F939" t="s">
        <v>1128</v>
      </c>
      <c r="G939" t="s">
        <v>1985</v>
      </c>
      <c r="H939" s="1">
        <v>45168</v>
      </c>
      <c r="I939" s="1">
        <v>45169</v>
      </c>
      <c r="J939" s="3">
        <v>375.38</v>
      </c>
      <c r="K939" s="4">
        <f t="shared" si="71"/>
        <v>1</v>
      </c>
      <c r="L939" t="str">
        <f t="shared" si="72"/>
        <v>Aug</v>
      </c>
      <c r="M939">
        <f t="shared" si="68"/>
        <v>2023</v>
      </c>
      <c r="N939">
        <f t="shared" si="69"/>
        <v>87</v>
      </c>
    </row>
    <row r="940" spans="1:14" x14ac:dyDescent="0.3">
      <c r="A940" t="s">
        <v>2024</v>
      </c>
      <c r="B940" t="s">
        <v>2025</v>
      </c>
      <c r="C940" s="1">
        <v>39927</v>
      </c>
      <c r="D940" t="s">
        <v>21</v>
      </c>
      <c r="E940" t="s">
        <v>1983</v>
      </c>
      <c r="F940" t="s">
        <v>1128</v>
      </c>
      <c r="G940" t="s">
        <v>1985</v>
      </c>
      <c r="H940" s="1">
        <v>44498</v>
      </c>
      <c r="I940" s="1">
        <v>44514</v>
      </c>
      <c r="J940" s="3">
        <v>367.55</v>
      </c>
      <c r="K940" s="4">
        <f t="shared" si="71"/>
        <v>16</v>
      </c>
      <c r="L940" t="str">
        <f t="shared" si="72"/>
        <v>Oct</v>
      </c>
      <c r="M940">
        <f t="shared" si="68"/>
        <v>2021</v>
      </c>
      <c r="N940">
        <f t="shared" si="69"/>
        <v>12</v>
      </c>
    </row>
    <row r="941" spans="1:14" x14ac:dyDescent="0.3">
      <c r="A941" t="s">
        <v>2026</v>
      </c>
      <c r="B941" t="s">
        <v>2027</v>
      </c>
      <c r="C941" s="1">
        <v>13918</v>
      </c>
      <c r="D941" t="s">
        <v>21</v>
      </c>
      <c r="E941" t="s">
        <v>1983</v>
      </c>
      <c r="F941" t="s">
        <v>1168</v>
      </c>
      <c r="G941" t="s">
        <v>2028</v>
      </c>
      <c r="H941" s="1">
        <v>44797</v>
      </c>
      <c r="I941" s="1">
        <v>44806</v>
      </c>
      <c r="J941" s="3">
        <v>365.99</v>
      </c>
      <c r="K941" s="4">
        <f t="shared" si="71"/>
        <v>9</v>
      </c>
      <c r="L941" t="str">
        <f t="shared" si="72"/>
        <v>Aug</v>
      </c>
      <c r="M941">
        <f t="shared" si="68"/>
        <v>2022</v>
      </c>
      <c r="N941">
        <f t="shared" si="69"/>
        <v>84</v>
      </c>
    </row>
    <row r="942" spans="1:14" x14ac:dyDescent="0.3">
      <c r="A942" t="s">
        <v>2029</v>
      </c>
      <c r="B942" t="s">
        <v>2030</v>
      </c>
      <c r="C942" s="1">
        <v>42088</v>
      </c>
      <c r="D942" t="s">
        <v>21</v>
      </c>
      <c r="E942" t="s">
        <v>1777</v>
      </c>
      <c r="F942" t="s">
        <v>1778</v>
      </c>
      <c r="G942" t="s">
        <v>1779</v>
      </c>
      <c r="H942" s="1">
        <v>44563</v>
      </c>
      <c r="I942" s="1">
        <v>44565</v>
      </c>
      <c r="J942" s="3">
        <v>363.31</v>
      </c>
      <c r="K942" s="4">
        <f t="shared" si="71"/>
        <v>2</v>
      </c>
      <c r="L942" t="str">
        <f t="shared" si="72"/>
        <v>Jan</v>
      </c>
      <c r="M942">
        <f t="shared" si="68"/>
        <v>2022</v>
      </c>
      <c r="N942">
        <f t="shared" si="69"/>
        <v>6</v>
      </c>
    </row>
    <row r="943" spans="1:14" x14ac:dyDescent="0.3">
      <c r="A943" t="s">
        <v>2031</v>
      </c>
      <c r="B943" t="s">
        <v>2032</v>
      </c>
      <c r="C943" s="1">
        <v>25311</v>
      </c>
      <c r="D943" t="s">
        <v>15</v>
      </c>
      <c r="E943" t="s">
        <v>1772</v>
      </c>
      <c r="F943" t="s">
        <v>1773</v>
      </c>
      <c r="G943" t="s">
        <v>1860</v>
      </c>
      <c r="H943" s="1">
        <v>45373</v>
      </c>
      <c r="I943" s="1">
        <v>45389</v>
      </c>
      <c r="J943" s="3">
        <v>360.68</v>
      </c>
      <c r="K943" s="4">
        <f t="shared" si="71"/>
        <v>16</v>
      </c>
      <c r="L943" t="str">
        <f t="shared" si="72"/>
        <v>Mar</v>
      </c>
      <c r="M943">
        <f t="shared" si="68"/>
        <v>2024</v>
      </c>
      <c r="N943">
        <f t="shared" si="69"/>
        <v>54</v>
      </c>
    </row>
    <row r="944" spans="1:14" x14ac:dyDescent="0.3">
      <c r="A944" t="s">
        <v>2033</v>
      </c>
      <c r="B944" t="s">
        <v>2034</v>
      </c>
      <c r="C944" s="1">
        <v>23737</v>
      </c>
      <c r="D944" t="s">
        <v>15</v>
      </c>
      <c r="E944" t="s">
        <v>1777</v>
      </c>
      <c r="F944" t="s">
        <v>1778</v>
      </c>
      <c r="G944" t="s">
        <v>1779</v>
      </c>
      <c r="H944" s="1">
        <v>45010</v>
      </c>
      <c r="I944" s="1">
        <v>45023</v>
      </c>
      <c r="J944" s="3">
        <v>359.86</v>
      </c>
      <c r="K944" s="4">
        <f t="shared" si="71"/>
        <v>13</v>
      </c>
      <c r="L944" t="str">
        <f t="shared" si="72"/>
        <v>Mar</v>
      </c>
      <c r="M944">
        <f t="shared" si="68"/>
        <v>2023</v>
      </c>
      <c r="N944">
        <f t="shared" si="69"/>
        <v>58</v>
      </c>
    </row>
    <row r="945" spans="1:14" x14ac:dyDescent="0.3">
      <c r="A945" t="s">
        <v>2035</v>
      </c>
      <c r="B945" t="s">
        <v>2036</v>
      </c>
      <c r="C945" s="1">
        <v>44457</v>
      </c>
      <c r="D945" t="s">
        <v>21</v>
      </c>
      <c r="E945" t="s">
        <v>1983</v>
      </c>
      <c r="F945" t="s">
        <v>1168</v>
      </c>
      <c r="G945" t="s">
        <v>2028</v>
      </c>
      <c r="H945" s="1">
        <v>44853</v>
      </c>
      <c r="I945" s="1">
        <v>44857</v>
      </c>
      <c r="J945" s="3">
        <v>357.92</v>
      </c>
      <c r="K945" s="4">
        <f t="shared" si="71"/>
        <v>4</v>
      </c>
      <c r="L945" t="str">
        <f t="shared" si="72"/>
        <v>Oct</v>
      </c>
      <c r="M945">
        <f t="shared" si="68"/>
        <v>2022</v>
      </c>
      <c r="N945">
        <f t="shared" si="69"/>
        <v>1</v>
      </c>
    </row>
    <row r="946" spans="1:14" x14ac:dyDescent="0.3">
      <c r="A946" t="s">
        <v>2037</v>
      </c>
      <c r="B946" t="s">
        <v>2038</v>
      </c>
      <c r="C946" s="1">
        <v>41425</v>
      </c>
      <c r="D946" t="s">
        <v>15</v>
      </c>
      <c r="E946" t="s">
        <v>1772</v>
      </c>
      <c r="F946" t="s">
        <v>1773</v>
      </c>
      <c r="G946" t="s">
        <v>1860</v>
      </c>
      <c r="H946" s="1">
        <v>45135</v>
      </c>
      <c r="I946" s="1">
        <v>45136</v>
      </c>
      <c r="J946" s="3">
        <v>357.73</v>
      </c>
      <c r="K946" s="4">
        <f t="shared" si="71"/>
        <v>1</v>
      </c>
      <c r="L946" t="str">
        <f t="shared" si="72"/>
        <v>Jul</v>
      </c>
      <c r="M946">
        <f t="shared" si="68"/>
        <v>2023</v>
      </c>
      <c r="N946">
        <f t="shared" si="69"/>
        <v>10</v>
      </c>
    </row>
    <row r="947" spans="1:14" x14ac:dyDescent="0.3">
      <c r="A947" t="s">
        <v>2039</v>
      </c>
      <c r="B947" t="s">
        <v>2040</v>
      </c>
      <c r="C947" s="1">
        <v>23427</v>
      </c>
      <c r="D947" t="s">
        <v>21</v>
      </c>
      <c r="E947" t="s">
        <v>1983</v>
      </c>
      <c r="F947" t="s">
        <v>1128</v>
      </c>
      <c r="G947" t="s">
        <v>1990</v>
      </c>
      <c r="H947" s="1">
        <v>44503</v>
      </c>
      <c r="I947" s="1">
        <v>44527</v>
      </c>
      <c r="J947" s="3">
        <v>345.64</v>
      </c>
      <c r="K947" s="4">
        <f t="shared" si="71"/>
        <v>24</v>
      </c>
      <c r="L947" t="str">
        <f t="shared" si="72"/>
        <v>Nov</v>
      </c>
      <c r="M947">
        <f t="shared" si="68"/>
        <v>2021</v>
      </c>
      <c r="N947">
        <f t="shared" si="69"/>
        <v>57</v>
      </c>
    </row>
    <row r="948" spans="1:14" x14ac:dyDescent="0.3">
      <c r="A948" t="s">
        <v>2041</v>
      </c>
      <c r="B948" t="s">
        <v>2042</v>
      </c>
      <c r="C948" s="1">
        <v>27426</v>
      </c>
      <c r="D948" t="s">
        <v>21</v>
      </c>
      <c r="E948" t="s">
        <v>1772</v>
      </c>
      <c r="F948" t="s">
        <v>1773</v>
      </c>
      <c r="G948" t="s">
        <v>1883</v>
      </c>
      <c r="H948" s="1">
        <v>44526</v>
      </c>
      <c r="I948" s="1">
        <v>44529</v>
      </c>
      <c r="J948" s="3">
        <v>340.6</v>
      </c>
      <c r="K948" s="4">
        <f t="shared" si="71"/>
        <v>3</v>
      </c>
      <c r="L948" t="str">
        <f t="shared" si="72"/>
        <v>Nov</v>
      </c>
      <c r="M948">
        <f t="shared" si="68"/>
        <v>2021</v>
      </c>
      <c r="N948">
        <f t="shared" si="69"/>
        <v>46</v>
      </c>
    </row>
    <row r="949" spans="1:14" x14ac:dyDescent="0.3">
      <c r="A949" t="s">
        <v>2043</v>
      </c>
      <c r="B949" t="s">
        <v>2044</v>
      </c>
      <c r="C949" s="1">
        <v>38738</v>
      </c>
      <c r="D949" t="s">
        <v>15</v>
      </c>
      <c r="E949" t="s">
        <v>1983</v>
      </c>
      <c r="F949" t="s">
        <v>1128</v>
      </c>
      <c r="G949" t="s">
        <v>1985</v>
      </c>
      <c r="H949" s="1">
        <v>44698</v>
      </c>
      <c r="I949" s="1">
        <v>44706</v>
      </c>
      <c r="J949" s="3">
        <v>339.23</v>
      </c>
      <c r="K949" s="4">
        <f t="shared" si="71"/>
        <v>8</v>
      </c>
      <c r="L949" t="str">
        <f t="shared" si="72"/>
        <v>May</v>
      </c>
      <c r="M949">
        <f t="shared" si="68"/>
        <v>2022</v>
      </c>
      <c r="N949">
        <f t="shared" si="69"/>
        <v>16</v>
      </c>
    </row>
    <row r="950" spans="1:14" x14ac:dyDescent="0.3">
      <c r="A950" t="s">
        <v>2045</v>
      </c>
      <c r="B950" t="s">
        <v>2046</v>
      </c>
      <c r="C950" s="1">
        <v>27268</v>
      </c>
      <c r="D950" t="s">
        <v>21</v>
      </c>
      <c r="E950" t="s">
        <v>1983</v>
      </c>
      <c r="F950" t="s">
        <v>1168</v>
      </c>
      <c r="G950" t="s">
        <v>1990</v>
      </c>
      <c r="H950" s="1">
        <v>44946</v>
      </c>
      <c r="I950" s="1">
        <v>44957</v>
      </c>
      <c r="J950" s="3">
        <v>338.37</v>
      </c>
      <c r="K950" s="4">
        <f xml:space="preserve"> I950-H950</f>
        <v>11</v>
      </c>
      <c r="L950" t="str">
        <f t="shared" si="72"/>
        <v>Jan</v>
      </c>
      <c r="M950">
        <f t="shared" ref="M950:M987" si="73">YEAR(H950)</f>
        <v>2023</v>
      </c>
      <c r="N950">
        <f t="shared" ref="N950:N987" si="74">DATEDIF(C950, H950, "Y")</f>
        <v>48</v>
      </c>
    </row>
    <row r="951" spans="1:14" x14ac:dyDescent="0.3">
      <c r="A951" t="s">
        <v>2047</v>
      </c>
      <c r="B951" t="s">
        <v>2048</v>
      </c>
      <c r="C951" s="1">
        <v>13922</v>
      </c>
      <c r="D951" t="s">
        <v>21</v>
      </c>
      <c r="E951" t="s">
        <v>1983</v>
      </c>
      <c r="F951" t="s">
        <v>1168</v>
      </c>
      <c r="G951" t="s">
        <v>1985</v>
      </c>
      <c r="H951" s="1">
        <v>44406</v>
      </c>
      <c r="I951" s="1">
        <v>44436</v>
      </c>
      <c r="J951" s="3">
        <v>333.02</v>
      </c>
      <c r="K951" s="4">
        <f t="shared" ref="K951:K977" si="75" xml:space="preserve"> I951-H951</f>
        <v>30</v>
      </c>
      <c r="L951" t="str">
        <f t="shared" si="72"/>
        <v>Jul</v>
      </c>
      <c r="M951">
        <f t="shared" si="73"/>
        <v>2021</v>
      </c>
      <c r="N951">
        <f t="shared" si="74"/>
        <v>83</v>
      </c>
    </row>
    <row r="952" spans="1:14" x14ac:dyDescent="0.3">
      <c r="A952" t="s">
        <v>2049</v>
      </c>
      <c r="B952" t="s">
        <v>2050</v>
      </c>
      <c r="C952" s="1">
        <v>17093</v>
      </c>
      <c r="D952" t="s">
        <v>15</v>
      </c>
      <c r="E952" t="s">
        <v>1777</v>
      </c>
      <c r="F952" t="s">
        <v>1778</v>
      </c>
      <c r="G952" t="s">
        <v>1779</v>
      </c>
      <c r="H952" s="1">
        <v>44415</v>
      </c>
      <c r="I952" s="1">
        <v>44431</v>
      </c>
      <c r="J952" s="3">
        <v>330.81</v>
      </c>
      <c r="K952" s="4">
        <f t="shared" si="75"/>
        <v>16</v>
      </c>
      <c r="L952" t="str">
        <f t="shared" si="72"/>
        <v>Aug</v>
      </c>
      <c r="M952">
        <f t="shared" si="73"/>
        <v>2021</v>
      </c>
      <c r="N952">
        <f t="shared" si="74"/>
        <v>74</v>
      </c>
    </row>
    <row r="953" spans="1:14" x14ac:dyDescent="0.3">
      <c r="A953" t="s">
        <v>2051</v>
      </c>
      <c r="B953" t="s">
        <v>2052</v>
      </c>
      <c r="C953" s="1">
        <v>19888</v>
      </c>
      <c r="D953" t="s">
        <v>15</v>
      </c>
      <c r="E953" t="s">
        <v>1983</v>
      </c>
      <c r="F953" t="s">
        <v>1984</v>
      </c>
      <c r="G953" t="s">
        <v>1985</v>
      </c>
      <c r="H953" s="1">
        <v>44998</v>
      </c>
      <c r="I953" s="1">
        <v>45026</v>
      </c>
      <c r="J953" s="3">
        <v>328.93</v>
      </c>
      <c r="K953" s="4">
        <f t="shared" si="75"/>
        <v>28</v>
      </c>
      <c r="L953" t="str">
        <f t="shared" si="72"/>
        <v>Mar</v>
      </c>
      <c r="M953">
        <f t="shared" si="73"/>
        <v>2023</v>
      </c>
      <c r="N953">
        <f t="shared" si="74"/>
        <v>68</v>
      </c>
    </row>
    <row r="954" spans="1:14" x14ac:dyDescent="0.3">
      <c r="A954" t="s">
        <v>2053</v>
      </c>
      <c r="B954" t="s">
        <v>2054</v>
      </c>
      <c r="C954" s="1">
        <v>31829</v>
      </c>
      <c r="D954" t="s">
        <v>21</v>
      </c>
      <c r="E954" t="s">
        <v>1983</v>
      </c>
      <c r="F954" t="s">
        <v>1128</v>
      </c>
      <c r="G954" t="s">
        <v>1990</v>
      </c>
      <c r="H954" s="1">
        <v>45283</v>
      </c>
      <c r="I954" s="1">
        <v>45292</v>
      </c>
      <c r="J954" s="3">
        <v>327.33</v>
      </c>
      <c r="K954" s="4">
        <f t="shared" si="75"/>
        <v>9</v>
      </c>
      <c r="L954" t="str">
        <f t="shared" si="72"/>
        <v>Dec</v>
      </c>
      <c r="M954">
        <f t="shared" si="73"/>
        <v>2023</v>
      </c>
      <c r="N954">
        <f t="shared" si="74"/>
        <v>36</v>
      </c>
    </row>
    <row r="955" spans="1:14" x14ac:dyDescent="0.3">
      <c r="A955" t="s">
        <v>2055</v>
      </c>
      <c r="B955" t="s">
        <v>2056</v>
      </c>
      <c r="C955" s="1">
        <v>36591</v>
      </c>
      <c r="D955" t="s">
        <v>21</v>
      </c>
      <c r="E955" t="s">
        <v>1772</v>
      </c>
      <c r="F955" t="s">
        <v>1855</v>
      </c>
      <c r="G955" t="s">
        <v>1774</v>
      </c>
      <c r="H955" s="1">
        <v>44992</v>
      </c>
      <c r="I955" s="1">
        <v>45012</v>
      </c>
      <c r="J955" s="3">
        <v>324.92</v>
      </c>
      <c r="K955" s="4">
        <f t="shared" si="75"/>
        <v>20</v>
      </c>
      <c r="L955" t="str">
        <f t="shared" si="72"/>
        <v>Mar</v>
      </c>
      <c r="M955">
        <f t="shared" si="73"/>
        <v>2023</v>
      </c>
      <c r="N955">
        <f t="shared" si="74"/>
        <v>23</v>
      </c>
    </row>
    <row r="956" spans="1:14" x14ac:dyDescent="0.3">
      <c r="A956" t="s">
        <v>2057</v>
      </c>
      <c r="B956" t="s">
        <v>2058</v>
      </c>
      <c r="C956" s="1">
        <v>39840</v>
      </c>
      <c r="D956" t="s">
        <v>15</v>
      </c>
      <c r="E956" t="s">
        <v>1777</v>
      </c>
      <c r="F956" t="s">
        <v>1778</v>
      </c>
      <c r="G956" t="s">
        <v>1782</v>
      </c>
      <c r="H956" s="1">
        <v>45039</v>
      </c>
      <c r="I956" s="1">
        <v>45055</v>
      </c>
      <c r="J956" s="3">
        <v>304.74</v>
      </c>
      <c r="K956" s="4">
        <f t="shared" si="75"/>
        <v>16</v>
      </c>
      <c r="L956" t="str">
        <f t="shared" si="72"/>
        <v>Apr</v>
      </c>
      <c r="M956">
        <f t="shared" si="73"/>
        <v>2023</v>
      </c>
      <c r="N956">
        <f t="shared" si="74"/>
        <v>14</v>
      </c>
    </row>
    <row r="957" spans="1:14" x14ac:dyDescent="0.3">
      <c r="A957" t="s">
        <v>2059</v>
      </c>
      <c r="B957" t="s">
        <v>2060</v>
      </c>
      <c r="C957" s="1">
        <v>39506</v>
      </c>
      <c r="D957" t="s">
        <v>15</v>
      </c>
      <c r="E957" t="s">
        <v>1772</v>
      </c>
      <c r="F957" t="s">
        <v>1855</v>
      </c>
      <c r="G957" t="s">
        <v>1774</v>
      </c>
      <c r="H957" s="1">
        <v>45242</v>
      </c>
      <c r="I957" s="1">
        <v>45249</v>
      </c>
      <c r="J957" s="3">
        <v>290.33</v>
      </c>
      <c r="K957" s="4">
        <f t="shared" si="75"/>
        <v>7</v>
      </c>
      <c r="L957" t="str">
        <f t="shared" si="72"/>
        <v>Nov</v>
      </c>
      <c r="M957">
        <f t="shared" si="73"/>
        <v>2023</v>
      </c>
      <c r="N957">
        <f t="shared" si="74"/>
        <v>15</v>
      </c>
    </row>
    <row r="958" spans="1:14" x14ac:dyDescent="0.3">
      <c r="A958" t="s">
        <v>2061</v>
      </c>
      <c r="B958" t="s">
        <v>2062</v>
      </c>
      <c r="C958" s="1">
        <v>35458</v>
      </c>
      <c r="D958" t="s">
        <v>21</v>
      </c>
      <c r="E958" t="s">
        <v>1777</v>
      </c>
      <c r="F958" t="s">
        <v>1778</v>
      </c>
      <c r="G958" t="s">
        <v>1782</v>
      </c>
      <c r="H958" s="1">
        <v>45237</v>
      </c>
      <c r="I958" s="1">
        <v>45245</v>
      </c>
      <c r="J958" s="3">
        <v>289.64</v>
      </c>
      <c r="K958" s="4">
        <f t="shared" si="75"/>
        <v>8</v>
      </c>
      <c r="L958" t="str">
        <f t="shared" si="72"/>
        <v>Nov</v>
      </c>
      <c r="M958">
        <f t="shared" si="73"/>
        <v>2023</v>
      </c>
      <c r="N958">
        <f t="shared" si="74"/>
        <v>26</v>
      </c>
    </row>
    <row r="959" spans="1:14" x14ac:dyDescent="0.3">
      <c r="A959" t="s">
        <v>2063</v>
      </c>
      <c r="B959" t="s">
        <v>2064</v>
      </c>
      <c r="C959" s="1">
        <v>16492</v>
      </c>
      <c r="D959" t="s">
        <v>15</v>
      </c>
      <c r="E959" t="s">
        <v>1983</v>
      </c>
      <c r="F959" t="s">
        <v>1984</v>
      </c>
      <c r="G959" t="s">
        <v>2028</v>
      </c>
      <c r="H959" s="1">
        <v>45043</v>
      </c>
      <c r="I959" s="1">
        <v>45056</v>
      </c>
      <c r="J959" s="3">
        <v>285.76</v>
      </c>
      <c r="K959" s="4">
        <f t="shared" si="75"/>
        <v>13</v>
      </c>
      <c r="L959" t="str">
        <f t="shared" si="72"/>
        <v>Apr</v>
      </c>
      <c r="M959">
        <f t="shared" si="73"/>
        <v>2023</v>
      </c>
      <c r="N959">
        <f t="shared" si="74"/>
        <v>78</v>
      </c>
    </row>
    <row r="960" spans="1:14" x14ac:dyDescent="0.3">
      <c r="A960" t="s">
        <v>2065</v>
      </c>
      <c r="B960" t="s">
        <v>2066</v>
      </c>
      <c r="C960" s="1">
        <v>37586</v>
      </c>
      <c r="D960" t="s">
        <v>21</v>
      </c>
      <c r="E960" t="s">
        <v>1777</v>
      </c>
      <c r="F960" t="s">
        <v>1778</v>
      </c>
      <c r="G960" t="s">
        <v>1779</v>
      </c>
      <c r="H960" s="1">
        <v>44527</v>
      </c>
      <c r="I960" s="1">
        <v>44535</v>
      </c>
      <c r="J960" s="3">
        <v>281.82</v>
      </c>
      <c r="K960" s="4">
        <f t="shared" si="75"/>
        <v>8</v>
      </c>
      <c r="L960" t="str">
        <f t="shared" si="72"/>
        <v>Nov</v>
      </c>
      <c r="M960">
        <f t="shared" si="73"/>
        <v>2021</v>
      </c>
      <c r="N960">
        <f t="shared" si="74"/>
        <v>19</v>
      </c>
    </row>
    <row r="961" spans="1:14" x14ac:dyDescent="0.3">
      <c r="A961" s="2" t="s">
        <v>2067</v>
      </c>
      <c r="B961" t="s">
        <v>2068</v>
      </c>
      <c r="C961" s="1">
        <v>23804</v>
      </c>
      <c r="D961" t="s">
        <v>21</v>
      </c>
      <c r="E961" t="s">
        <v>1983</v>
      </c>
      <c r="F961" t="s">
        <v>1128</v>
      </c>
      <c r="G961" t="s">
        <v>1985</v>
      </c>
      <c r="H961" s="1">
        <v>44667</v>
      </c>
      <c r="I961" s="1">
        <v>44671</v>
      </c>
      <c r="J961" s="3">
        <v>274.52999999999997</v>
      </c>
      <c r="K961" s="4">
        <f t="shared" si="75"/>
        <v>4</v>
      </c>
      <c r="L961" t="str">
        <f t="shared" si="72"/>
        <v>Apr</v>
      </c>
      <c r="M961">
        <f t="shared" si="73"/>
        <v>2022</v>
      </c>
      <c r="N961">
        <f t="shared" si="74"/>
        <v>57</v>
      </c>
    </row>
    <row r="962" spans="1:14" x14ac:dyDescent="0.3">
      <c r="A962" t="s">
        <v>2069</v>
      </c>
      <c r="B962" t="s">
        <v>2070</v>
      </c>
      <c r="C962" s="1">
        <v>36087</v>
      </c>
      <c r="D962" t="s">
        <v>21</v>
      </c>
      <c r="E962" t="s">
        <v>1983</v>
      </c>
      <c r="F962" t="s">
        <v>1984</v>
      </c>
      <c r="G962" t="s">
        <v>1985</v>
      </c>
      <c r="H962" s="1">
        <v>45069</v>
      </c>
      <c r="I962" s="1">
        <v>45087</v>
      </c>
      <c r="J962" s="3">
        <v>274.45</v>
      </c>
      <c r="K962" s="4">
        <f t="shared" si="75"/>
        <v>18</v>
      </c>
      <c r="L962" t="str">
        <f t="shared" si="72"/>
        <v>May</v>
      </c>
      <c r="M962">
        <f t="shared" si="73"/>
        <v>2023</v>
      </c>
      <c r="N962">
        <f t="shared" si="74"/>
        <v>24</v>
      </c>
    </row>
    <row r="963" spans="1:14" x14ac:dyDescent="0.3">
      <c r="A963" t="s">
        <v>2071</v>
      </c>
      <c r="B963" t="s">
        <v>2072</v>
      </c>
      <c r="C963" s="1">
        <v>24980</v>
      </c>
      <c r="D963" t="s">
        <v>21</v>
      </c>
      <c r="E963" t="s">
        <v>1983</v>
      </c>
      <c r="F963" t="s">
        <v>1128</v>
      </c>
      <c r="G963" t="s">
        <v>2028</v>
      </c>
      <c r="H963" s="1">
        <v>44651</v>
      </c>
      <c r="I963" s="1">
        <v>44653</v>
      </c>
      <c r="J963" s="3">
        <v>269.77</v>
      </c>
      <c r="K963" s="4">
        <f t="shared" si="75"/>
        <v>2</v>
      </c>
      <c r="L963" t="str">
        <f t="shared" si="72"/>
        <v>Mar</v>
      </c>
      <c r="M963">
        <f t="shared" si="73"/>
        <v>2022</v>
      </c>
      <c r="N963">
        <f t="shared" si="74"/>
        <v>53</v>
      </c>
    </row>
    <row r="964" spans="1:14" x14ac:dyDescent="0.3">
      <c r="A964" t="s">
        <v>2073</v>
      </c>
      <c r="B964" t="s">
        <v>2074</v>
      </c>
      <c r="C964" s="1">
        <v>29321</v>
      </c>
      <c r="D964" t="s">
        <v>15</v>
      </c>
      <c r="E964" t="s">
        <v>1772</v>
      </c>
      <c r="F964" t="s">
        <v>1855</v>
      </c>
      <c r="G964" t="s">
        <v>1774</v>
      </c>
      <c r="H964" s="1">
        <v>45301</v>
      </c>
      <c r="I964" s="1">
        <v>45314</v>
      </c>
      <c r="J964" s="3">
        <v>264.87</v>
      </c>
      <c r="K964" s="4">
        <f t="shared" si="75"/>
        <v>13</v>
      </c>
      <c r="L964" t="str">
        <f t="shared" si="72"/>
        <v>Jan</v>
      </c>
      <c r="M964">
        <f t="shared" si="73"/>
        <v>2024</v>
      </c>
      <c r="N964">
        <f t="shared" si="74"/>
        <v>43</v>
      </c>
    </row>
    <row r="965" spans="1:14" x14ac:dyDescent="0.3">
      <c r="A965" t="s">
        <v>2075</v>
      </c>
      <c r="B965" t="s">
        <v>2076</v>
      </c>
      <c r="C965" s="1">
        <v>33395</v>
      </c>
      <c r="D965" t="s">
        <v>21</v>
      </c>
      <c r="E965" t="s">
        <v>1777</v>
      </c>
      <c r="F965" t="s">
        <v>1801</v>
      </c>
      <c r="G965" t="s">
        <v>1782</v>
      </c>
      <c r="H965" s="1">
        <v>45246</v>
      </c>
      <c r="I965" s="1">
        <v>45247</v>
      </c>
      <c r="J965" s="3">
        <v>262.12</v>
      </c>
      <c r="K965" s="4">
        <f t="shared" si="75"/>
        <v>1</v>
      </c>
      <c r="L965" t="str">
        <f t="shared" si="72"/>
        <v>Nov</v>
      </c>
      <c r="M965">
        <f t="shared" si="73"/>
        <v>2023</v>
      </c>
      <c r="N965">
        <f t="shared" si="74"/>
        <v>32</v>
      </c>
    </row>
    <row r="966" spans="1:14" x14ac:dyDescent="0.3">
      <c r="A966" t="s">
        <v>2077</v>
      </c>
      <c r="B966" t="s">
        <v>2078</v>
      </c>
      <c r="C966" s="1">
        <v>19925</v>
      </c>
      <c r="D966" t="s">
        <v>15</v>
      </c>
      <c r="E966" t="s">
        <v>1983</v>
      </c>
      <c r="F966" t="s">
        <v>1128</v>
      </c>
      <c r="G966" t="s">
        <v>1985</v>
      </c>
      <c r="H966" s="1">
        <v>44820</v>
      </c>
      <c r="I966" s="1">
        <v>44830</v>
      </c>
      <c r="J966" s="3">
        <v>260.62</v>
      </c>
      <c r="K966" s="4">
        <f t="shared" si="75"/>
        <v>10</v>
      </c>
      <c r="L966" t="str">
        <f t="shared" si="72"/>
        <v>Sep</v>
      </c>
      <c r="M966">
        <f t="shared" si="73"/>
        <v>2022</v>
      </c>
      <c r="N966">
        <f t="shared" si="74"/>
        <v>68</v>
      </c>
    </row>
    <row r="967" spans="1:14" x14ac:dyDescent="0.3">
      <c r="A967" t="s">
        <v>2079</v>
      </c>
      <c r="B967" t="s">
        <v>2080</v>
      </c>
      <c r="C967" s="1">
        <v>17730</v>
      </c>
      <c r="D967" t="s">
        <v>15</v>
      </c>
      <c r="E967" t="s">
        <v>1983</v>
      </c>
      <c r="F967" t="s">
        <v>1168</v>
      </c>
      <c r="G967" t="s">
        <v>1990</v>
      </c>
      <c r="H967" s="1">
        <v>44545</v>
      </c>
      <c r="I967" s="1">
        <v>44567</v>
      </c>
      <c r="J967" s="3">
        <v>259.89</v>
      </c>
      <c r="K967" s="4">
        <f t="shared" si="75"/>
        <v>22</v>
      </c>
      <c r="L967" t="str">
        <f t="shared" si="72"/>
        <v>Dec</v>
      </c>
      <c r="M967">
        <f t="shared" si="73"/>
        <v>2021</v>
      </c>
      <c r="N967">
        <f t="shared" si="74"/>
        <v>73</v>
      </c>
    </row>
    <row r="968" spans="1:14" x14ac:dyDescent="0.3">
      <c r="A968" t="s">
        <v>2081</v>
      </c>
      <c r="B968" t="s">
        <v>2082</v>
      </c>
      <c r="C968" s="1">
        <v>23733</v>
      </c>
      <c r="D968" t="s">
        <v>21</v>
      </c>
      <c r="E968" t="s">
        <v>1983</v>
      </c>
      <c r="F968" t="s">
        <v>1984</v>
      </c>
      <c r="G968" t="s">
        <v>1985</v>
      </c>
      <c r="H968" s="1">
        <v>44941</v>
      </c>
      <c r="I968" s="1">
        <v>44956</v>
      </c>
      <c r="J968" s="3">
        <v>258.75</v>
      </c>
      <c r="K968" s="4">
        <f t="shared" si="75"/>
        <v>15</v>
      </c>
      <c r="L968" t="str">
        <f t="shared" si="72"/>
        <v>Jan</v>
      </c>
      <c r="M968">
        <f t="shared" si="73"/>
        <v>2023</v>
      </c>
      <c r="N968">
        <f t="shared" si="74"/>
        <v>58</v>
      </c>
    </row>
    <row r="969" spans="1:14" x14ac:dyDescent="0.3">
      <c r="A969" t="s">
        <v>2083</v>
      </c>
      <c r="B969" t="s">
        <v>2084</v>
      </c>
      <c r="C969" s="1">
        <v>11731</v>
      </c>
      <c r="D969" t="s">
        <v>21</v>
      </c>
      <c r="E969" t="s">
        <v>1983</v>
      </c>
      <c r="F969" t="s">
        <v>1128</v>
      </c>
      <c r="G969" t="s">
        <v>1985</v>
      </c>
      <c r="H969" s="1">
        <v>44765</v>
      </c>
      <c r="I969" s="1">
        <v>44776</v>
      </c>
      <c r="J969" s="3">
        <v>257.82</v>
      </c>
      <c r="K969" s="4">
        <f t="shared" si="75"/>
        <v>11</v>
      </c>
      <c r="L969" t="str">
        <f t="shared" si="72"/>
        <v>Jul</v>
      </c>
      <c r="M969">
        <f t="shared" si="73"/>
        <v>2022</v>
      </c>
      <c r="N969">
        <f t="shared" si="74"/>
        <v>90</v>
      </c>
    </row>
    <row r="970" spans="1:14" x14ac:dyDescent="0.3">
      <c r="A970" t="s">
        <v>2085</v>
      </c>
      <c r="B970" t="s">
        <v>2086</v>
      </c>
      <c r="C970" s="1">
        <v>32435</v>
      </c>
      <c r="D970" t="s">
        <v>21</v>
      </c>
      <c r="E970" t="s">
        <v>1772</v>
      </c>
      <c r="F970" t="s">
        <v>1773</v>
      </c>
      <c r="G970" t="s">
        <v>1860</v>
      </c>
      <c r="H970" s="1">
        <v>45158</v>
      </c>
      <c r="I970" s="1">
        <v>45177</v>
      </c>
      <c r="J970" s="3">
        <v>256.97000000000003</v>
      </c>
      <c r="K970" s="4">
        <f t="shared" si="75"/>
        <v>19</v>
      </c>
      <c r="L970" t="str">
        <f t="shared" si="72"/>
        <v>Aug</v>
      </c>
      <c r="M970">
        <f t="shared" si="73"/>
        <v>2023</v>
      </c>
      <c r="N970">
        <f t="shared" si="74"/>
        <v>34</v>
      </c>
    </row>
    <row r="971" spans="1:14" x14ac:dyDescent="0.3">
      <c r="A971" t="s">
        <v>2087</v>
      </c>
      <c r="B971" t="s">
        <v>2088</v>
      </c>
      <c r="C971" s="1">
        <v>22936</v>
      </c>
      <c r="D971" t="s">
        <v>21</v>
      </c>
      <c r="E971" t="s">
        <v>1777</v>
      </c>
      <c r="F971" t="s">
        <v>1778</v>
      </c>
      <c r="G971" t="s">
        <v>1802</v>
      </c>
      <c r="H971" s="1">
        <v>45256</v>
      </c>
      <c r="I971" s="1">
        <v>45285</v>
      </c>
      <c r="J971" s="3">
        <v>251.47</v>
      </c>
      <c r="K971" s="4">
        <f t="shared" si="75"/>
        <v>29</v>
      </c>
      <c r="L971" t="str">
        <f t="shared" si="72"/>
        <v>Nov</v>
      </c>
      <c r="M971">
        <f t="shared" si="73"/>
        <v>2023</v>
      </c>
      <c r="N971">
        <f t="shared" si="74"/>
        <v>61</v>
      </c>
    </row>
    <row r="972" spans="1:14" x14ac:dyDescent="0.3">
      <c r="A972" t="s">
        <v>2089</v>
      </c>
      <c r="B972" t="s">
        <v>2090</v>
      </c>
      <c r="C972" s="1">
        <v>29812</v>
      </c>
      <c r="D972" t="s">
        <v>21</v>
      </c>
      <c r="E972" t="s">
        <v>1983</v>
      </c>
      <c r="F972" t="s">
        <v>1168</v>
      </c>
      <c r="G972" t="s">
        <v>2028</v>
      </c>
      <c r="H972" s="1">
        <v>44797</v>
      </c>
      <c r="I972" s="1">
        <v>44805</v>
      </c>
      <c r="J972" s="3">
        <v>247.55</v>
      </c>
      <c r="K972" s="4">
        <f t="shared" si="75"/>
        <v>8</v>
      </c>
      <c r="L972" t="str">
        <f t="shared" si="72"/>
        <v>Aug</v>
      </c>
      <c r="M972">
        <f t="shared" si="73"/>
        <v>2022</v>
      </c>
      <c r="N972">
        <f t="shared" si="74"/>
        <v>41</v>
      </c>
    </row>
    <row r="973" spans="1:14" x14ac:dyDescent="0.3">
      <c r="A973" t="s">
        <v>2091</v>
      </c>
      <c r="B973" t="s">
        <v>2092</v>
      </c>
      <c r="C973" s="1">
        <v>41207</v>
      </c>
      <c r="D973" t="s">
        <v>15</v>
      </c>
      <c r="E973" t="s">
        <v>1983</v>
      </c>
      <c r="F973" t="s">
        <v>1984</v>
      </c>
      <c r="G973" t="s">
        <v>1985</v>
      </c>
      <c r="H973" s="1">
        <v>44882</v>
      </c>
      <c r="I973" s="1">
        <v>44904</v>
      </c>
      <c r="J973" s="3">
        <v>224.97</v>
      </c>
      <c r="K973" s="4">
        <f t="shared" si="75"/>
        <v>22</v>
      </c>
      <c r="L973" t="str">
        <f t="shared" si="72"/>
        <v>Nov</v>
      </c>
      <c r="M973">
        <f t="shared" si="73"/>
        <v>2022</v>
      </c>
      <c r="N973">
        <f t="shared" si="74"/>
        <v>10</v>
      </c>
    </row>
    <row r="974" spans="1:14" x14ac:dyDescent="0.3">
      <c r="A974" t="s">
        <v>2093</v>
      </c>
      <c r="B974" t="s">
        <v>2094</v>
      </c>
      <c r="C974" s="1">
        <v>32115</v>
      </c>
      <c r="D974" t="s">
        <v>21</v>
      </c>
      <c r="E974" t="s">
        <v>1983</v>
      </c>
      <c r="F974" t="s">
        <v>1984</v>
      </c>
      <c r="G974" t="s">
        <v>1990</v>
      </c>
      <c r="H974" s="1">
        <v>45177</v>
      </c>
      <c r="I974" s="1">
        <v>45202</v>
      </c>
      <c r="J974" s="3">
        <v>223.36</v>
      </c>
      <c r="K974" s="4">
        <f t="shared" si="75"/>
        <v>25</v>
      </c>
      <c r="L974" t="str">
        <f t="shared" si="72"/>
        <v>Sep</v>
      </c>
      <c r="M974">
        <f t="shared" si="73"/>
        <v>2023</v>
      </c>
      <c r="N974">
        <f t="shared" si="74"/>
        <v>35</v>
      </c>
    </row>
    <row r="975" spans="1:14" x14ac:dyDescent="0.3">
      <c r="A975" t="s">
        <v>2095</v>
      </c>
      <c r="B975" t="s">
        <v>2096</v>
      </c>
      <c r="C975" s="1">
        <v>40193</v>
      </c>
      <c r="D975" t="s">
        <v>21</v>
      </c>
      <c r="E975" t="s">
        <v>1777</v>
      </c>
      <c r="F975" t="s">
        <v>1778</v>
      </c>
      <c r="G975" t="s">
        <v>1782</v>
      </c>
      <c r="H975" s="1">
        <v>44574</v>
      </c>
      <c r="I975" s="1">
        <v>44582</v>
      </c>
      <c r="J975" s="3">
        <v>218.97</v>
      </c>
      <c r="K975" s="4">
        <f t="shared" si="75"/>
        <v>8</v>
      </c>
      <c r="L975" t="str">
        <f t="shared" si="72"/>
        <v>Jan</v>
      </c>
      <c r="M975">
        <f t="shared" si="73"/>
        <v>2022</v>
      </c>
      <c r="N975">
        <f t="shared" si="74"/>
        <v>11</v>
      </c>
    </row>
    <row r="976" spans="1:14" x14ac:dyDescent="0.3">
      <c r="A976" t="s">
        <v>2097</v>
      </c>
      <c r="B976" t="s">
        <v>2098</v>
      </c>
      <c r="C976" s="1">
        <v>21204</v>
      </c>
      <c r="D976" t="s">
        <v>21</v>
      </c>
      <c r="E976" t="s">
        <v>1983</v>
      </c>
      <c r="F976" t="s">
        <v>1984</v>
      </c>
      <c r="G976" t="s">
        <v>2028</v>
      </c>
      <c r="H976" s="1">
        <v>44592</v>
      </c>
      <c r="I976" s="1">
        <v>44620</v>
      </c>
      <c r="J976" s="3">
        <v>203.08</v>
      </c>
      <c r="K976" s="4">
        <f t="shared" si="75"/>
        <v>28</v>
      </c>
      <c r="L976" t="str">
        <f t="shared" si="72"/>
        <v>Jan</v>
      </c>
      <c r="M976">
        <f t="shared" si="73"/>
        <v>2022</v>
      </c>
      <c r="N976">
        <f t="shared" si="74"/>
        <v>64</v>
      </c>
    </row>
    <row r="977" spans="1:14" x14ac:dyDescent="0.3">
      <c r="A977" t="s">
        <v>2099</v>
      </c>
      <c r="B977" t="s">
        <v>2100</v>
      </c>
      <c r="C977" s="1">
        <v>28392</v>
      </c>
      <c r="D977" t="s">
        <v>15</v>
      </c>
      <c r="E977" t="s">
        <v>1983</v>
      </c>
      <c r="F977" t="s">
        <v>1168</v>
      </c>
      <c r="G977" t="s">
        <v>2028</v>
      </c>
      <c r="H977" s="1">
        <v>44645</v>
      </c>
      <c r="I977" s="1">
        <v>44658</v>
      </c>
      <c r="J977" s="3">
        <v>198.28</v>
      </c>
      <c r="K977" s="4">
        <f t="shared" si="75"/>
        <v>13</v>
      </c>
      <c r="L977" t="str">
        <f t="shared" si="72"/>
        <v>Mar</v>
      </c>
      <c r="M977">
        <f t="shared" si="73"/>
        <v>2022</v>
      </c>
      <c r="N977">
        <f t="shared" si="74"/>
        <v>44</v>
      </c>
    </row>
    <row r="978" spans="1:14" x14ac:dyDescent="0.3">
      <c r="A978" t="s">
        <v>2101</v>
      </c>
      <c r="B978" t="s">
        <v>2102</v>
      </c>
      <c r="C978" s="1">
        <v>29895</v>
      </c>
      <c r="D978" t="s">
        <v>15</v>
      </c>
      <c r="E978" t="s">
        <v>1983</v>
      </c>
      <c r="F978" t="s">
        <v>1128</v>
      </c>
      <c r="G978" t="s">
        <v>1985</v>
      </c>
      <c r="H978" s="1">
        <v>44420</v>
      </c>
      <c r="I978" s="1">
        <v>44441</v>
      </c>
      <c r="J978" s="3">
        <v>190.58</v>
      </c>
      <c r="K978" s="4">
        <f xml:space="preserve"> I978-H978</f>
        <v>21</v>
      </c>
      <c r="L978" t="str">
        <f t="shared" si="72"/>
        <v>Aug</v>
      </c>
      <c r="M978">
        <f t="shared" si="73"/>
        <v>2021</v>
      </c>
      <c r="N978">
        <f t="shared" si="74"/>
        <v>39</v>
      </c>
    </row>
    <row r="979" spans="1:14" x14ac:dyDescent="0.3">
      <c r="A979" t="s">
        <v>2103</v>
      </c>
      <c r="B979" t="s">
        <v>2104</v>
      </c>
      <c r="C979" s="1">
        <v>42889</v>
      </c>
      <c r="D979" t="s">
        <v>21</v>
      </c>
      <c r="E979" t="s">
        <v>1983</v>
      </c>
      <c r="F979" t="s">
        <v>1984</v>
      </c>
      <c r="G979" t="s">
        <v>1990</v>
      </c>
      <c r="H979" s="1">
        <v>44994</v>
      </c>
      <c r="I979" s="1">
        <v>45013</v>
      </c>
      <c r="J979" s="3">
        <v>177.52</v>
      </c>
      <c r="K979" s="4">
        <f t="shared" ref="K979:K987" si="76" xml:space="preserve"> I979-H979</f>
        <v>19</v>
      </c>
      <c r="L979" t="str">
        <f t="shared" si="72"/>
        <v>Mar</v>
      </c>
      <c r="M979">
        <f t="shared" si="73"/>
        <v>2023</v>
      </c>
      <c r="N979">
        <f t="shared" si="74"/>
        <v>5</v>
      </c>
    </row>
    <row r="980" spans="1:14" x14ac:dyDescent="0.3">
      <c r="A980" t="s">
        <v>2105</v>
      </c>
      <c r="B980" t="s">
        <v>2106</v>
      </c>
      <c r="C980" s="1">
        <v>23544</v>
      </c>
      <c r="D980" t="s">
        <v>21</v>
      </c>
      <c r="E980" t="s">
        <v>1983</v>
      </c>
      <c r="F980" t="s">
        <v>1984</v>
      </c>
      <c r="G980" t="s">
        <v>1985</v>
      </c>
      <c r="H980" s="1">
        <v>45134</v>
      </c>
      <c r="I980" s="1">
        <v>45164</v>
      </c>
      <c r="J980" s="3">
        <v>171.46</v>
      </c>
      <c r="K980" s="4">
        <f t="shared" si="76"/>
        <v>30</v>
      </c>
      <c r="L980" t="str">
        <f t="shared" si="72"/>
        <v>Jul</v>
      </c>
      <c r="M980">
        <f t="shared" si="73"/>
        <v>2023</v>
      </c>
      <c r="N980">
        <f t="shared" si="74"/>
        <v>59</v>
      </c>
    </row>
    <row r="981" spans="1:14" x14ac:dyDescent="0.3">
      <c r="A981" t="s">
        <v>2107</v>
      </c>
      <c r="B981" t="s">
        <v>2108</v>
      </c>
      <c r="C981" s="1">
        <v>28670</v>
      </c>
      <c r="D981" t="s">
        <v>15</v>
      </c>
      <c r="E981" t="s">
        <v>1983</v>
      </c>
      <c r="F981" t="s">
        <v>1984</v>
      </c>
      <c r="G981" t="s">
        <v>1985</v>
      </c>
      <c r="H981" s="1">
        <v>45323</v>
      </c>
      <c r="I981" s="1">
        <v>45324</v>
      </c>
      <c r="J981" s="3">
        <v>168.97</v>
      </c>
      <c r="K981" s="4">
        <f t="shared" si="76"/>
        <v>1</v>
      </c>
      <c r="L981" t="str">
        <f t="shared" si="72"/>
        <v>Feb</v>
      </c>
      <c r="M981">
        <f t="shared" si="73"/>
        <v>2024</v>
      </c>
      <c r="N981">
        <f t="shared" si="74"/>
        <v>45</v>
      </c>
    </row>
    <row r="982" spans="1:14" x14ac:dyDescent="0.3">
      <c r="A982" t="s">
        <v>2109</v>
      </c>
      <c r="B982" t="s">
        <v>2110</v>
      </c>
      <c r="C982" s="1">
        <v>41155</v>
      </c>
      <c r="D982" t="s">
        <v>15</v>
      </c>
      <c r="E982" t="s">
        <v>1983</v>
      </c>
      <c r="F982" t="s">
        <v>1128</v>
      </c>
      <c r="G982" t="s">
        <v>1990</v>
      </c>
      <c r="H982" s="1">
        <v>44791</v>
      </c>
      <c r="I982" s="1">
        <v>44821</v>
      </c>
      <c r="J982" s="3">
        <v>167.73</v>
      </c>
      <c r="K982" s="4">
        <f t="shared" si="76"/>
        <v>30</v>
      </c>
      <c r="L982" t="str">
        <f t="shared" si="72"/>
        <v>Aug</v>
      </c>
      <c r="M982">
        <f t="shared" si="73"/>
        <v>2022</v>
      </c>
      <c r="N982">
        <f t="shared" si="74"/>
        <v>9</v>
      </c>
    </row>
    <row r="983" spans="1:14" x14ac:dyDescent="0.3">
      <c r="A983" t="s">
        <v>2111</v>
      </c>
      <c r="B983" t="s">
        <v>2112</v>
      </c>
      <c r="C983" s="1">
        <v>23798</v>
      </c>
      <c r="D983" t="s">
        <v>21</v>
      </c>
      <c r="E983" t="s">
        <v>1983</v>
      </c>
      <c r="F983" t="s">
        <v>1984</v>
      </c>
      <c r="G983" t="s">
        <v>1985</v>
      </c>
      <c r="H983" s="1">
        <v>45141</v>
      </c>
      <c r="I983" s="1">
        <v>45161</v>
      </c>
      <c r="J983" s="3">
        <v>142.33000000000001</v>
      </c>
      <c r="K983" s="4">
        <f t="shared" si="76"/>
        <v>20</v>
      </c>
      <c r="L983" t="str">
        <f t="shared" si="72"/>
        <v>Aug</v>
      </c>
      <c r="M983">
        <f t="shared" si="73"/>
        <v>2023</v>
      </c>
      <c r="N983">
        <f t="shared" si="74"/>
        <v>58</v>
      </c>
    </row>
    <row r="984" spans="1:14" x14ac:dyDescent="0.3">
      <c r="A984" t="s">
        <v>2113</v>
      </c>
      <c r="B984" t="s">
        <v>2114</v>
      </c>
      <c r="C984" s="1">
        <v>11362</v>
      </c>
      <c r="D984" t="s">
        <v>21</v>
      </c>
      <c r="E984" t="s">
        <v>1983</v>
      </c>
      <c r="F984" t="s">
        <v>1984</v>
      </c>
      <c r="G984" t="s">
        <v>2028</v>
      </c>
      <c r="H984" s="1">
        <v>44792</v>
      </c>
      <c r="I984" s="1">
        <v>44812</v>
      </c>
      <c r="J984" s="3">
        <v>128.82</v>
      </c>
      <c r="K984" s="4">
        <f t="shared" si="76"/>
        <v>20</v>
      </c>
      <c r="L984" t="str">
        <f t="shared" si="72"/>
        <v>Aug</v>
      </c>
      <c r="M984">
        <f t="shared" si="73"/>
        <v>2022</v>
      </c>
      <c r="N984">
        <f t="shared" si="74"/>
        <v>91</v>
      </c>
    </row>
    <row r="985" spans="1:14" x14ac:dyDescent="0.3">
      <c r="A985" t="s">
        <v>2115</v>
      </c>
      <c r="B985" t="s">
        <v>2116</v>
      </c>
      <c r="C985" s="1">
        <v>40434</v>
      </c>
      <c r="D985" t="s">
        <v>21</v>
      </c>
      <c r="E985" t="s">
        <v>1983</v>
      </c>
      <c r="F985" t="s">
        <v>1168</v>
      </c>
      <c r="G985" t="s">
        <v>1985</v>
      </c>
      <c r="H985" s="1">
        <v>44757</v>
      </c>
      <c r="I985" s="1">
        <v>44780</v>
      </c>
      <c r="J985" s="3">
        <v>120.51</v>
      </c>
      <c r="K985" s="4">
        <f t="shared" si="76"/>
        <v>23</v>
      </c>
      <c r="L985" t="str">
        <f t="shared" si="72"/>
        <v>Jul</v>
      </c>
      <c r="M985">
        <f t="shared" si="73"/>
        <v>2022</v>
      </c>
      <c r="N985">
        <f t="shared" si="74"/>
        <v>11</v>
      </c>
    </row>
    <row r="986" spans="1:14" x14ac:dyDescent="0.3">
      <c r="A986" t="s">
        <v>2117</v>
      </c>
      <c r="B986" t="s">
        <v>2118</v>
      </c>
      <c r="C986" s="1">
        <v>29683</v>
      </c>
      <c r="D986" t="s">
        <v>21</v>
      </c>
      <c r="E986" t="s">
        <v>1983</v>
      </c>
      <c r="F986" t="s">
        <v>1128</v>
      </c>
      <c r="G986" t="s">
        <v>1990</v>
      </c>
      <c r="H986" s="1">
        <v>45213</v>
      </c>
      <c r="I986" s="1">
        <v>45214</v>
      </c>
      <c r="J986" s="3">
        <v>119.4</v>
      </c>
      <c r="K986" s="4">
        <f t="shared" si="76"/>
        <v>1</v>
      </c>
      <c r="L986" t="str">
        <f t="shared" si="72"/>
        <v>Oct</v>
      </c>
      <c r="M986">
        <f t="shared" si="73"/>
        <v>2023</v>
      </c>
      <c r="N986">
        <f t="shared" si="74"/>
        <v>42</v>
      </c>
    </row>
    <row r="987" spans="1:14" x14ac:dyDescent="0.3">
      <c r="A987" t="s">
        <v>2119</v>
      </c>
      <c r="B987" t="s">
        <v>2120</v>
      </c>
      <c r="C987" s="1">
        <v>44626</v>
      </c>
      <c r="D987" t="s">
        <v>21</v>
      </c>
      <c r="E987" t="s">
        <v>1983</v>
      </c>
      <c r="F987" t="s">
        <v>1168</v>
      </c>
      <c r="G987" t="s">
        <v>1985</v>
      </c>
      <c r="H987" s="1">
        <v>44903</v>
      </c>
      <c r="I987" s="1">
        <v>44927</v>
      </c>
      <c r="J987" s="3">
        <v>102.55</v>
      </c>
      <c r="K987" s="4">
        <f t="shared" si="76"/>
        <v>24</v>
      </c>
      <c r="L987" t="str">
        <f t="shared" si="72"/>
        <v>Dec</v>
      </c>
      <c r="M987">
        <f t="shared" si="73"/>
        <v>2022</v>
      </c>
      <c r="N987">
        <f t="shared" si="74"/>
        <v>0</v>
      </c>
    </row>
  </sheetData>
  <sortState xmlns:xlrd2="http://schemas.microsoft.com/office/spreadsheetml/2017/richdata2" ref="A2:J987">
    <sortCondition descending="1" ref="J2:J98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FAEF-BC9D-40E5-AAD7-CDE77A67575C}">
  <sheetPr codeName="Sheet2"/>
  <dimension ref="A1:V14"/>
  <sheetViews>
    <sheetView topLeftCell="H1" zoomScale="91" workbookViewId="0">
      <selection activeCell="B38" sqref="B38"/>
    </sheetView>
  </sheetViews>
  <sheetFormatPr defaultRowHeight="14.4" x14ac:dyDescent="0.3"/>
  <cols>
    <col min="1" max="1" width="13.6640625" bestFit="1" customWidth="1"/>
    <col min="2" max="2" width="14.6640625" bestFit="1" customWidth="1"/>
    <col min="3" max="3" width="7.44140625" customWidth="1"/>
    <col min="4" max="4" width="13.6640625" bestFit="1" customWidth="1"/>
    <col min="5" max="6" width="17.77734375" bestFit="1" customWidth="1"/>
    <col min="7" max="7" width="9.44140625" bestFit="1" customWidth="1"/>
    <col min="8" max="8" width="17.6640625" bestFit="1" customWidth="1"/>
    <col min="9" max="9" width="8.44140625" customWidth="1"/>
    <col min="10" max="10" width="10" bestFit="1" customWidth="1"/>
    <col min="11" max="11" width="17.6640625" bestFit="1" customWidth="1"/>
    <col min="12" max="12" width="10" bestFit="1" customWidth="1"/>
    <col min="13" max="13" width="17.6640625" bestFit="1" customWidth="1"/>
    <col min="14" max="14" width="11" customWidth="1"/>
    <col min="15" max="15" width="17.77734375" bestFit="1" customWidth="1"/>
    <col min="16" max="16" width="11" customWidth="1"/>
    <col min="17" max="17" width="23.44140625" bestFit="1" customWidth="1"/>
    <col min="18" max="18" width="10.44140625" customWidth="1"/>
    <col min="19" max="19" width="17.6640625" bestFit="1" customWidth="1"/>
    <col min="20" max="21" width="10" bestFit="1" customWidth="1"/>
    <col min="22" max="22" width="11.109375" bestFit="1" customWidth="1"/>
    <col min="23" max="23" width="11.77734375" customWidth="1"/>
    <col min="24" max="24" width="12.33203125" customWidth="1"/>
    <col min="25" max="25" width="11.109375" customWidth="1"/>
    <col min="26" max="26" width="13.6640625" customWidth="1"/>
    <col min="27" max="27" width="12" customWidth="1"/>
    <col min="28" max="28" width="10.44140625" customWidth="1"/>
    <col min="29" max="29" width="11.77734375" customWidth="1"/>
    <col min="30" max="30" width="11.5546875" customWidth="1"/>
    <col min="31" max="31" width="11" customWidth="1"/>
    <col min="32" max="32" width="11.6640625" bestFit="1" customWidth="1"/>
  </cols>
  <sheetData>
    <row r="1" spans="1:22" x14ac:dyDescent="0.3">
      <c r="A1" s="5" t="s">
        <v>2139</v>
      </c>
      <c r="B1" t="s">
        <v>2121</v>
      </c>
      <c r="D1" s="5" t="s">
        <v>2139</v>
      </c>
      <c r="E1" t="s">
        <v>2122</v>
      </c>
      <c r="G1" s="5" t="s">
        <v>10</v>
      </c>
      <c r="H1" t="s">
        <v>2123</v>
      </c>
      <c r="J1" s="5" t="s">
        <v>3</v>
      </c>
      <c r="K1" t="s">
        <v>2123</v>
      </c>
      <c r="M1" t="s">
        <v>2123</v>
      </c>
      <c r="O1" s="12" t="s">
        <v>2122</v>
      </c>
      <c r="S1" s="5" t="s">
        <v>2123</v>
      </c>
      <c r="T1" s="5" t="s">
        <v>3</v>
      </c>
    </row>
    <row r="2" spans="1:22" x14ac:dyDescent="0.3">
      <c r="A2" t="s">
        <v>2141</v>
      </c>
      <c r="B2" s="4">
        <v>22</v>
      </c>
      <c r="D2" t="s">
        <v>16</v>
      </c>
      <c r="E2" s="3">
        <v>719602.67</v>
      </c>
      <c r="G2" t="s">
        <v>2124</v>
      </c>
      <c r="H2" s="20">
        <v>33</v>
      </c>
      <c r="J2" t="s">
        <v>15</v>
      </c>
      <c r="K2" s="20">
        <v>172</v>
      </c>
      <c r="M2" s="20">
        <v>351</v>
      </c>
      <c r="O2" s="11">
        <v>3074279.2400000021</v>
      </c>
      <c r="S2" s="5" t="s">
        <v>2139</v>
      </c>
      <c r="T2" t="s">
        <v>15</v>
      </c>
      <c r="U2" t="s">
        <v>21</v>
      </c>
      <c r="V2" t="s">
        <v>2136</v>
      </c>
    </row>
    <row r="3" spans="1:22" x14ac:dyDescent="0.3">
      <c r="A3" t="s">
        <v>960</v>
      </c>
      <c r="B3" s="4">
        <v>20.3</v>
      </c>
      <c r="D3" t="s">
        <v>72</v>
      </c>
      <c r="E3" s="3">
        <v>253748.52000000002</v>
      </c>
      <c r="G3" t="s">
        <v>2125</v>
      </c>
      <c r="H3" s="20">
        <v>32</v>
      </c>
      <c r="J3" t="s">
        <v>21</v>
      </c>
      <c r="K3" s="20">
        <v>179</v>
      </c>
      <c r="S3" t="s">
        <v>1777</v>
      </c>
      <c r="T3" s="20">
        <v>12</v>
      </c>
      <c r="U3" s="20">
        <v>8</v>
      </c>
      <c r="V3" s="20">
        <v>20</v>
      </c>
    </row>
    <row r="4" spans="1:22" x14ac:dyDescent="0.3">
      <c r="A4" t="s">
        <v>2145</v>
      </c>
      <c r="B4" s="4">
        <v>19.444444444444443</v>
      </c>
      <c r="D4" t="s">
        <v>79</v>
      </c>
      <c r="E4" s="3">
        <v>250555.57</v>
      </c>
      <c r="G4" t="s">
        <v>2126</v>
      </c>
      <c r="H4" s="20">
        <v>28</v>
      </c>
      <c r="S4" t="s">
        <v>294</v>
      </c>
      <c r="T4" s="20">
        <v>8</v>
      </c>
      <c r="U4" s="20">
        <v>10</v>
      </c>
      <c r="V4" s="20">
        <v>18</v>
      </c>
    </row>
    <row r="5" spans="1:22" x14ac:dyDescent="0.3">
      <c r="A5" t="s">
        <v>952</v>
      </c>
      <c r="B5" s="4">
        <v>19.25</v>
      </c>
      <c r="D5" t="s">
        <v>2145</v>
      </c>
      <c r="E5" s="3">
        <v>229050.01</v>
      </c>
      <c r="G5" t="s">
        <v>2127</v>
      </c>
      <c r="H5" s="20">
        <v>26</v>
      </c>
      <c r="S5" t="s">
        <v>1127</v>
      </c>
      <c r="T5" s="20">
        <v>15</v>
      </c>
      <c r="U5" s="20">
        <v>3</v>
      </c>
      <c r="V5" s="20">
        <v>18</v>
      </c>
    </row>
    <row r="6" spans="1:22" x14ac:dyDescent="0.3">
      <c r="A6" t="s">
        <v>922</v>
      </c>
      <c r="B6" s="4">
        <v>19</v>
      </c>
      <c r="D6" t="s">
        <v>294</v>
      </c>
      <c r="E6" s="3">
        <v>219940.54999999996</v>
      </c>
      <c r="G6" t="s">
        <v>2128</v>
      </c>
      <c r="H6" s="20">
        <v>27</v>
      </c>
      <c r="S6" t="s">
        <v>952</v>
      </c>
      <c r="T6" s="20">
        <v>6</v>
      </c>
      <c r="U6" s="20">
        <v>10</v>
      </c>
      <c r="V6" s="20">
        <v>16</v>
      </c>
    </row>
    <row r="7" spans="1:22" x14ac:dyDescent="0.3">
      <c r="D7" t="s">
        <v>2136</v>
      </c>
      <c r="E7" s="3">
        <v>1672897.32</v>
      </c>
      <c r="G7" t="s">
        <v>2129</v>
      </c>
      <c r="H7" s="20">
        <v>35</v>
      </c>
      <c r="S7" t="s">
        <v>1983</v>
      </c>
      <c r="T7" s="20">
        <v>3</v>
      </c>
      <c r="U7" s="20">
        <v>13</v>
      </c>
      <c r="V7" s="20">
        <v>16</v>
      </c>
    </row>
    <row r="8" spans="1:22" x14ac:dyDescent="0.3">
      <c r="G8" t="s">
        <v>2130</v>
      </c>
      <c r="H8" s="20">
        <v>25</v>
      </c>
      <c r="P8" s="4"/>
      <c r="S8" t="s">
        <v>1171</v>
      </c>
      <c r="T8" s="20">
        <v>9</v>
      </c>
      <c r="U8" s="20">
        <v>7</v>
      </c>
      <c r="V8" s="20">
        <v>16</v>
      </c>
    </row>
    <row r="9" spans="1:22" x14ac:dyDescent="0.3">
      <c r="G9" t="s">
        <v>2131</v>
      </c>
      <c r="H9" s="20">
        <v>33</v>
      </c>
      <c r="Q9" t="s">
        <v>2137</v>
      </c>
      <c r="S9" t="s">
        <v>1161</v>
      </c>
      <c r="T9" s="20">
        <v>6</v>
      </c>
      <c r="U9" s="20">
        <v>10</v>
      </c>
      <c r="V9" s="20">
        <v>16</v>
      </c>
    </row>
    <row r="10" spans="1:22" x14ac:dyDescent="0.3">
      <c r="G10" t="s">
        <v>2132</v>
      </c>
      <c r="H10" s="20">
        <v>21</v>
      </c>
      <c r="Q10" s="4">
        <v>16.005698005698004</v>
      </c>
    </row>
    <row r="11" spans="1:22" x14ac:dyDescent="0.3">
      <c r="G11" t="s">
        <v>2133</v>
      </c>
      <c r="H11" s="20">
        <v>25</v>
      </c>
    </row>
    <row r="12" spans="1:22" x14ac:dyDescent="0.3">
      <c r="G12" t="s">
        <v>2134</v>
      </c>
      <c r="H12" s="20">
        <v>31</v>
      </c>
    </row>
    <row r="13" spans="1:22" x14ac:dyDescent="0.3">
      <c r="G13" t="s">
        <v>2135</v>
      </c>
      <c r="H13" s="20">
        <v>35</v>
      </c>
      <c r="Q13" t="s">
        <v>2138</v>
      </c>
    </row>
    <row r="14" spans="1:22" x14ac:dyDescent="0.3">
      <c r="Q14" s="14">
        <f>GETPIVOTDATA("Bill Amount",$O$1)/GETPIVOTDATA("Patient ID",$M$1)</f>
        <v>8758.6303133903202</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373B-42B9-4300-B41F-EA15CD7852A9}">
  <sheetPr codeName="Sheet3">
    <pageSetUpPr autoPageBreaks="0"/>
  </sheetPr>
  <dimension ref="A1:Z57"/>
  <sheetViews>
    <sheetView showGridLines="0" showRowColHeaders="0" tabSelected="1" zoomScaleNormal="100" workbookViewId="0">
      <selection activeCell="B39" sqref="B39"/>
    </sheetView>
  </sheetViews>
  <sheetFormatPr defaultRowHeight="14.4" x14ac:dyDescent="0.3"/>
  <cols>
    <col min="1" max="1" width="8.77734375" customWidth="1"/>
  </cols>
  <sheetData>
    <row r="1" spans="1:26" ht="15" customHeight="1" x14ac:dyDescent="0.3">
      <c r="A1" s="21" t="s">
        <v>2140</v>
      </c>
      <c r="B1" s="15"/>
      <c r="C1" s="15"/>
      <c r="D1" s="15"/>
      <c r="E1" s="15"/>
      <c r="F1" s="15"/>
      <c r="G1" s="15"/>
      <c r="H1" s="15"/>
      <c r="I1" s="15"/>
      <c r="J1" s="15"/>
      <c r="K1" s="15"/>
      <c r="L1" s="15"/>
      <c r="M1" s="15"/>
      <c r="N1" s="15"/>
      <c r="O1" s="15"/>
      <c r="P1" s="15"/>
      <c r="Q1" s="15"/>
      <c r="R1" s="15"/>
      <c r="S1" s="15"/>
      <c r="T1" s="15"/>
      <c r="U1" s="15"/>
      <c r="V1" s="15"/>
      <c r="W1" s="15"/>
      <c r="X1" s="16"/>
      <c r="Y1" s="6"/>
      <c r="Z1" s="6"/>
    </row>
    <row r="2" spans="1:26" ht="15" customHeight="1" x14ac:dyDescent="0.3">
      <c r="A2" s="17"/>
      <c r="B2" s="18"/>
      <c r="C2" s="18"/>
      <c r="D2" s="18"/>
      <c r="E2" s="18"/>
      <c r="F2" s="18"/>
      <c r="G2" s="18"/>
      <c r="H2" s="18"/>
      <c r="I2" s="18"/>
      <c r="J2" s="18"/>
      <c r="K2" s="18"/>
      <c r="L2" s="18"/>
      <c r="M2" s="18"/>
      <c r="N2" s="18"/>
      <c r="O2" s="18"/>
      <c r="P2" s="18"/>
      <c r="Q2" s="18"/>
      <c r="R2" s="18"/>
      <c r="S2" s="18"/>
      <c r="T2" s="18"/>
      <c r="U2" s="18"/>
      <c r="V2" s="18"/>
      <c r="W2" s="18"/>
      <c r="X2" s="19"/>
      <c r="Y2" s="6"/>
      <c r="Z2" s="6"/>
    </row>
    <row r="3" spans="1:26" x14ac:dyDescent="0.3">
      <c r="A3" s="7"/>
      <c r="B3" s="7"/>
      <c r="C3" s="7"/>
      <c r="D3" s="7"/>
      <c r="E3" s="7"/>
      <c r="F3" s="7"/>
      <c r="G3" s="7"/>
      <c r="H3" s="7"/>
      <c r="I3" s="7"/>
      <c r="J3" s="7"/>
      <c r="K3" s="7"/>
      <c r="L3" s="7"/>
      <c r="M3" s="7"/>
      <c r="N3" s="7"/>
      <c r="O3" s="7"/>
      <c r="P3" s="7"/>
      <c r="Q3" s="7"/>
      <c r="R3" s="7"/>
      <c r="S3" s="7"/>
      <c r="T3" s="7"/>
      <c r="U3" s="7"/>
      <c r="V3" s="7"/>
      <c r="W3" s="7"/>
      <c r="X3" s="7"/>
    </row>
    <row r="4" spans="1:26" ht="15" customHeight="1" x14ac:dyDescent="0.3">
      <c r="A4" s="7"/>
      <c r="B4" s="13"/>
      <c r="C4" s="9"/>
      <c r="D4" s="9"/>
      <c r="E4" s="9"/>
      <c r="F4" s="7"/>
      <c r="G4" s="9"/>
      <c r="H4" s="9"/>
      <c r="I4" s="9"/>
      <c r="J4" s="9"/>
      <c r="K4" s="7"/>
      <c r="L4" s="9"/>
      <c r="M4" s="9"/>
      <c r="N4" s="9"/>
      <c r="O4" s="9"/>
      <c r="P4" s="7"/>
      <c r="Q4" s="9"/>
      <c r="R4" s="9"/>
      <c r="S4" s="9"/>
      <c r="T4" s="9"/>
      <c r="U4" s="7"/>
      <c r="V4" s="7"/>
      <c r="W4" s="7"/>
      <c r="X4" s="7"/>
    </row>
    <row r="5" spans="1:26" ht="15" customHeight="1" x14ac:dyDescent="0.3">
      <c r="A5" s="7"/>
      <c r="B5" s="10"/>
      <c r="C5" s="10"/>
      <c r="D5" s="10"/>
      <c r="E5" s="10"/>
      <c r="F5" s="7"/>
      <c r="G5" s="9"/>
      <c r="H5" s="9"/>
      <c r="I5" s="9"/>
      <c r="J5" s="9"/>
      <c r="K5" s="7"/>
      <c r="L5" s="9"/>
      <c r="M5" s="9"/>
      <c r="N5" s="9"/>
      <c r="O5" s="9"/>
      <c r="P5" s="7"/>
      <c r="Q5" s="9"/>
      <c r="R5" s="9"/>
      <c r="S5" s="9"/>
      <c r="T5" s="9"/>
      <c r="U5" s="7"/>
      <c r="V5" s="7"/>
      <c r="W5" s="7"/>
      <c r="X5" s="7"/>
    </row>
    <row r="6" spans="1:26" ht="15" customHeight="1" x14ac:dyDescent="0.3">
      <c r="A6" s="7"/>
      <c r="B6" s="10"/>
      <c r="C6" s="10"/>
      <c r="D6" s="10"/>
      <c r="E6" s="10"/>
      <c r="F6" s="7"/>
      <c r="G6" s="9"/>
      <c r="H6" s="9"/>
      <c r="I6" s="9"/>
      <c r="J6" s="9"/>
      <c r="K6" s="7"/>
      <c r="L6" s="9"/>
      <c r="M6" s="9"/>
      <c r="N6" s="9"/>
      <c r="O6" s="9"/>
      <c r="P6" s="7"/>
      <c r="Q6" s="9"/>
      <c r="R6" s="9"/>
      <c r="S6" s="9"/>
      <c r="T6" s="9"/>
      <c r="U6" s="7"/>
      <c r="V6" s="7"/>
      <c r="W6" s="7"/>
      <c r="X6" s="7"/>
    </row>
    <row r="7" spans="1:26" x14ac:dyDescent="0.3">
      <c r="A7" s="7"/>
      <c r="B7" s="7"/>
      <c r="C7" s="7"/>
      <c r="D7" s="7"/>
      <c r="E7" s="7"/>
      <c r="F7" s="7"/>
      <c r="G7" s="7"/>
      <c r="H7" s="7"/>
      <c r="I7" s="7"/>
      <c r="J7" s="7"/>
      <c r="K7" s="7"/>
      <c r="L7" s="7"/>
      <c r="M7" s="7"/>
      <c r="N7" s="7"/>
      <c r="O7" s="7"/>
      <c r="P7" s="7"/>
      <c r="Q7" s="7"/>
      <c r="R7" s="7"/>
      <c r="S7" s="7"/>
      <c r="T7" s="7"/>
      <c r="U7" s="7"/>
      <c r="V7" s="7"/>
      <c r="W7" s="7"/>
      <c r="X7" s="7"/>
    </row>
    <row r="8" spans="1:26" x14ac:dyDescent="0.3">
      <c r="A8" s="7"/>
      <c r="B8" s="7"/>
      <c r="C8" s="7"/>
      <c r="D8" s="7"/>
      <c r="E8" s="7"/>
      <c r="F8" s="7"/>
      <c r="G8" s="7"/>
      <c r="H8" s="7"/>
      <c r="I8" s="7"/>
      <c r="J8" s="7"/>
      <c r="K8" s="7"/>
      <c r="L8" s="7"/>
      <c r="M8" s="7"/>
      <c r="N8" s="7"/>
      <c r="O8" s="7"/>
      <c r="P8" s="7"/>
      <c r="Q8" s="7"/>
      <c r="R8" s="7"/>
      <c r="S8" s="7"/>
      <c r="T8" s="7"/>
      <c r="U8" s="7"/>
      <c r="V8" s="7"/>
      <c r="W8" s="7"/>
      <c r="X8" s="7"/>
    </row>
    <row r="9" spans="1:26" x14ac:dyDescent="0.3">
      <c r="A9" s="7"/>
      <c r="B9" s="7"/>
      <c r="C9" s="7"/>
      <c r="D9" s="7"/>
      <c r="E9" s="7"/>
      <c r="F9" s="7"/>
      <c r="G9" s="7"/>
      <c r="H9" s="7"/>
      <c r="I9" s="7"/>
      <c r="J9" s="7"/>
      <c r="K9" s="7"/>
      <c r="L9" s="7"/>
      <c r="M9" s="7"/>
      <c r="N9" s="7"/>
      <c r="O9" s="7"/>
      <c r="P9" s="7"/>
      <c r="Q9" s="7"/>
      <c r="R9" s="7"/>
      <c r="S9" s="7"/>
      <c r="T9" s="7"/>
      <c r="U9" s="7"/>
      <c r="V9" s="7"/>
      <c r="W9" s="7"/>
      <c r="X9" s="7"/>
    </row>
    <row r="10" spans="1:26" x14ac:dyDescent="0.3">
      <c r="A10" s="7"/>
      <c r="B10" s="7"/>
      <c r="C10" s="7"/>
      <c r="D10" s="7"/>
      <c r="E10" s="7"/>
      <c r="F10" s="7"/>
      <c r="G10" s="7"/>
      <c r="H10" s="7"/>
      <c r="I10" s="7"/>
      <c r="J10" s="7"/>
      <c r="K10" s="7"/>
      <c r="L10" s="7"/>
      <c r="M10" s="7"/>
      <c r="N10" s="7"/>
      <c r="O10" s="7"/>
      <c r="P10" s="7"/>
      <c r="Q10" s="7"/>
      <c r="R10" s="7"/>
      <c r="S10" s="7"/>
      <c r="T10" s="7"/>
      <c r="U10" s="7"/>
      <c r="V10" s="7"/>
      <c r="W10" s="7"/>
      <c r="X10" s="7"/>
    </row>
    <row r="11" spans="1:26" x14ac:dyDescent="0.3">
      <c r="A11" s="7"/>
      <c r="B11" s="7"/>
      <c r="C11" s="7"/>
      <c r="D11" s="7"/>
      <c r="E11" s="7"/>
      <c r="F11" s="7"/>
      <c r="G11" s="7"/>
      <c r="H11" s="7"/>
      <c r="I11" s="7"/>
      <c r="J11" s="7"/>
      <c r="K11" s="7"/>
      <c r="L11" s="7"/>
      <c r="M11" s="7"/>
      <c r="N11" s="7"/>
      <c r="O11" s="7"/>
      <c r="P11" s="7"/>
      <c r="Q11" s="7"/>
      <c r="R11" s="7"/>
      <c r="S11" s="7"/>
      <c r="T11" s="7"/>
      <c r="U11" s="7"/>
      <c r="V11" s="7"/>
      <c r="W11" s="7"/>
      <c r="X11" s="7"/>
    </row>
    <row r="12" spans="1:26" x14ac:dyDescent="0.3">
      <c r="A12" s="7"/>
      <c r="B12" s="7"/>
      <c r="C12" s="7"/>
      <c r="D12" s="7"/>
      <c r="E12" s="7"/>
      <c r="F12" s="7"/>
      <c r="G12" s="7"/>
      <c r="H12" s="7"/>
      <c r="I12" s="7"/>
      <c r="J12" s="7"/>
      <c r="K12" s="7"/>
      <c r="L12" s="8"/>
      <c r="M12" s="7"/>
      <c r="N12" s="7"/>
      <c r="O12" s="7"/>
      <c r="P12" s="7"/>
      <c r="Q12" s="7"/>
      <c r="R12" s="7"/>
      <c r="S12" s="7"/>
      <c r="T12" s="7"/>
      <c r="U12" s="7"/>
      <c r="V12" s="7"/>
      <c r="W12" s="7"/>
      <c r="X12" s="7"/>
    </row>
    <row r="13" spans="1:26" x14ac:dyDescent="0.3">
      <c r="A13" s="7"/>
      <c r="B13" s="7"/>
      <c r="C13" s="7"/>
      <c r="D13" s="7"/>
      <c r="E13" s="7"/>
      <c r="F13" s="7"/>
      <c r="G13" s="7"/>
      <c r="H13" s="7"/>
      <c r="I13" s="7"/>
      <c r="J13" s="7"/>
      <c r="K13" s="7"/>
      <c r="L13" s="7"/>
      <c r="M13" s="7"/>
      <c r="N13" s="7"/>
      <c r="O13" s="7"/>
      <c r="P13" s="7"/>
      <c r="Q13" s="7"/>
      <c r="R13" s="7"/>
      <c r="S13" s="7"/>
      <c r="T13" s="7"/>
      <c r="U13" s="7"/>
      <c r="V13" s="7"/>
      <c r="W13" s="7"/>
      <c r="X13" s="7"/>
    </row>
    <row r="14" spans="1:26" x14ac:dyDescent="0.3">
      <c r="A14" s="7"/>
      <c r="B14" s="7"/>
      <c r="C14" s="7"/>
      <c r="D14" s="7"/>
      <c r="E14" s="7"/>
      <c r="F14" s="7"/>
      <c r="G14" s="7"/>
      <c r="H14" s="7"/>
      <c r="I14" s="7"/>
      <c r="J14" s="7"/>
      <c r="K14" s="7"/>
      <c r="L14" s="7"/>
      <c r="M14" s="7"/>
      <c r="N14" s="7"/>
      <c r="O14" s="7"/>
      <c r="P14" s="7"/>
      <c r="Q14" s="7"/>
      <c r="R14" s="7"/>
      <c r="S14" s="7"/>
      <c r="T14" s="7"/>
      <c r="U14" s="7"/>
      <c r="V14" s="7"/>
      <c r="W14" s="7"/>
      <c r="X14" s="7"/>
    </row>
    <row r="15" spans="1:26" x14ac:dyDescent="0.3">
      <c r="A15" s="7"/>
      <c r="B15" s="7"/>
      <c r="C15" s="7"/>
      <c r="D15" s="7"/>
      <c r="E15" s="7"/>
      <c r="F15" s="7"/>
      <c r="G15" s="7"/>
      <c r="H15" s="7"/>
      <c r="I15" s="7"/>
      <c r="J15" s="7"/>
      <c r="K15" s="7"/>
      <c r="L15" s="7"/>
      <c r="M15" s="7"/>
      <c r="N15" s="7"/>
      <c r="O15" s="7"/>
      <c r="P15" s="7"/>
      <c r="Q15" s="7"/>
      <c r="R15" s="7"/>
      <c r="S15" s="7"/>
      <c r="T15" s="7"/>
      <c r="U15" s="7"/>
      <c r="V15" s="7"/>
      <c r="W15" s="7"/>
      <c r="X15" s="7"/>
    </row>
    <row r="16" spans="1:26"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row r="35" spans="1:24" x14ac:dyDescent="0.3">
      <c r="A35" s="7"/>
      <c r="B35" s="7"/>
      <c r="C35" s="7"/>
      <c r="D35" s="7"/>
      <c r="E35" s="7"/>
      <c r="F35" s="7"/>
      <c r="G35" s="7"/>
      <c r="H35" s="7"/>
      <c r="I35" s="7"/>
      <c r="J35" s="7"/>
      <c r="K35" s="7"/>
      <c r="L35" s="7"/>
      <c r="M35" s="7"/>
      <c r="N35" s="7"/>
      <c r="O35" s="7"/>
      <c r="P35" s="7"/>
      <c r="Q35" s="7"/>
      <c r="R35" s="7"/>
      <c r="S35" s="7"/>
      <c r="T35" s="7"/>
      <c r="U35" s="7"/>
      <c r="V35" s="7"/>
      <c r="W35" s="7"/>
      <c r="X35" s="7"/>
    </row>
    <row r="36" spans="1:24" x14ac:dyDescent="0.3">
      <c r="A36" s="7"/>
      <c r="B36" s="7"/>
      <c r="C36" s="7"/>
      <c r="D36" s="7"/>
      <c r="E36" s="7"/>
      <c r="F36" s="7"/>
      <c r="G36" s="7"/>
      <c r="H36" s="7"/>
      <c r="I36" s="7"/>
      <c r="J36" s="7"/>
      <c r="K36" s="7"/>
      <c r="L36" s="7"/>
      <c r="M36" s="7"/>
      <c r="N36" s="7"/>
      <c r="O36" s="7"/>
      <c r="P36" s="7"/>
      <c r="Q36" s="7"/>
      <c r="R36" s="7"/>
      <c r="S36" s="7"/>
      <c r="T36" s="7"/>
      <c r="U36" s="7"/>
      <c r="V36" s="7"/>
      <c r="W36" s="7"/>
      <c r="X36" s="7"/>
    </row>
    <row r="37" spans="1:24" x14ac:dyDescent="0.3">
      <c r="A37" s="7"/>
      <c r="B37" s="7"/>
      <c r="C37" s="7"/>
      <c r="D37" s="7"/>
      <c r="E37" s="7"/>
      <c r="F37" s="7"/>
      <c r="G37" s="7"/>
      <c r="H37" s="7"/>
      <c r="I37" s="7"/>
      <c r="J37" s="7"/>
      <c r="K37" s="7"/>
      <c r="L37" s="7"/>
      <c r="M37" s="7"/>
      <c r="N37" s="7"/>
      <c r="O37" s="7"/>
      <c r="P37" s="7"/>
      <c r="Q37" s="7"/>
      <c r="R37" s="7"/>
      <c r="S37" s="7"/>
      <c r="T37" s="7"/>
      <c r="U37" s="7"/>
      <c r="V37" s="7"/>
      <c r="W37" s="7"/>
      <c r="X37" s="7"/>
    </row>
    <row r="38" spans="1:24" x14ac:dyDescent="0.3">
      <c r="A38" s="7"/>
      <c r="B38" s="7"/>
      <c r="C38" s="7"/>
      <c r="D38" s="7"/>
      <c r="E38" s="7"/>
      <c r="F38" s="7"/>
      <c r="G38" s="7"/>
      <c r="H38" s="7"/>
      <c r="I38" s="7"/>
      <c r="J38" s="7"/>
      <c r="K38" s="7"/>
      <c r="L38" s="7"/>
      <c r="M38" s="7"/>
      <c r="N38" s="7"/>
      <c r="O38" s="7"/>
      <c r="P38" s="7"/>
      <c r="Q38" s="7"/>
      <c r="R38" s="7"/>
      <c r="S38" s="7"/>
      <c r="T38" s="7"/>
      <c r="U38" s="7"/>
      <c r="V38" s="7"/>
      <c r="W38" s="7"/>
      <c r="X38" s="7"/>
    </row>
    <row r="39" spans="1:24" x14ac:dyDescent="0.3">
      <c r="A39" s="7"/>
      <c r="B39" s="7"/>
      <c r="C39" s="7"/>
      <c r="D39" s="7"/>
      <c r="E39" s="7"/>
      <c r="F39" s="7"/>
      <c r="G39" s="7"/>
      <c r="H39" s="7"/>
      <c r="I39" s="7"/>
      <c r="J39" s="7"/>
      <c r="K39" s="7"/>
      <c r="L39" s="7"/>
      <c r="M39" s="7"/>
      <c r="N39" s="7"/>
      <c r="O39" s="7"/>
      <c r="P39" s="7"/>
      <c r="Q39" s="7"/>
      <c r="R39" s="7"/>
      <c r="S39" s="7"/>
      <c r="T39" s="7"/>
      <c r="U39" s="7"/>
      <c r="V39" s="7"/>
      <c r="W39" s="7"/>
      <c r="X39" s="7"/>
    </row>
    <row r="40" spans="1:24" x14ac:dyDescent="0.3">
      <c r="A40" s="7"/>
      <c r="B40" s="7"/>
      <c r="C40" s="7"/>
      <c r="D40" s="7"/>
      <c r="E40" s="7"/>
      <c r="F40" s="7"/>
      <c r="G40" s="7"/>
      <c r="H40" s="7"/>
      <c r="I40" s="7"/>
      <c r="J40" s="7"/>
      <c r="K40" s="7"/>
      <c r="L40" s="7"/>
      <c r="M40" s="7"/>
      <c r="N40" s="7"/>
      <c r="O40" s="7"/>
      <c r="P40" s="7"/>
      <c r="Q40" s="7"/>
      <c r="R40" s="7"/>
      <c r="S40" s="7"/>
      <c r="T40" s="7"/>
      <c r="U40" s="7"/>
      <c r="V40" s="7"/>
      <c r="W40" s="7"/>
      <c r="X40" s="7"/>
    </row>
    <row r="41" spans="1:24" x14ac:dyDescent="0.3">
      <c r="A41" s="7"/>
      <c r="B41" s="7"/>
      <c r="C41" s="7"/>
      <c r="D41" s="7"/>
      <c r="E41" s="7"/>
      <c r="F41" s="7"/>
      <c r="G41" s="7"/>
      <c r="H41" s="7"/>
      <c r="I41" s="7"/>
      <c r="J41" s="7"/>
      <c r="K41" s="7"/>
      <c r="L41" s="7"/>
      <c r="M41" s="7"/>
      <c r="N41" s="7"/>
      <c r="O41" s="7"/>
      <c r="P41" s="7"/>
      <c r="Q41" s="7"/>
      <c r="R41" s="7"/>
      <c r="S41" s="7"/>
      <c r="T41" s="7"/>
      <c r="U41" s="7"/>
      <c r="V41" s="7"/>
      <c r="W41" s="7"/>
      <c r="X41" s="7"/>
    </row>
    <row r="42" spans="1:24" x14ac:dyDescent="0.3">
      <c r="A42" s="7"/>
      <c r="B42" s="7"/>
      <c r="C42" s="7"/>
      <c r="D42" s="7"/>
      <c r="E42" s="7"/>
      <c r="F42" s="7"/>
      <c r="G42" s="7"/>
      <c r="H42" s="7"/>
      <c r="I42" s="7"/>
      <c r="J42" s="7"/>
      <c r="K42" s="7"/>
      <c r="L42" s="7"/>
      <c r="M42" s="7"/>
      <c r="N42" s="7"/>
      <c r="O42" s="7"/>
      <c r="P42" s="7"/>
      <c r="Q42" s="7"/>
      <c r="R42" s="7"/>
      <c r="S42" s="7"/>
      <c r="T42" s="7"/>
      <c r="U42" s="7"/>
      <c r="V42" s="7"/>
      <c r="W42" s="7"/>
      <c r="X42" s="7"/>
    </row>
    <row r="43" spans="1:24" x14ac:dyDescent="0.3">
      <c r="A43" s="7"/>
      <c r="B43" s="7"/>
      <c r="C43" s="7"/>
      <c r="D43" s="7"/>
      <c r="E43" s="7"/>
      <c r="F43" s="7"/>
      <c r="G43" s="7"/>
      <c r="H43" s="7"/>
      <c r="I43" s="7"/>
      <c r="J43" s="7"/>
      <c r="K43" s="7"/>
      <c r="L43" s="7"/>
      <c r="M43" s="7"/>
      <c r="N43" s="7"/>
      <c r="O43" s="7"/>
      <c r="P43" s="7"/>
      <c r="Q43" s="7"/>
      <c r="R43" s="7"/>
      <c r="S43" s="7"/>
      <c r="T43" s="7"/>
      <c r="U43" s="7"/>
      <c r="V43" s="7"/>
      <c r="W43" s="7"/>
      <c r="X43" s="7"/>
    </row>
    <row r="44" spans="1:24" x14ac:dyDescent="0.3">
      <c r="A44" s="7"/>
      <c r="B44" s="7"/>
      <c r="C44" s="7"/>
      <c r="D44" s="7"/>
      <c r="E44" s="7"/>
      <c r="F44" s="7"/>
      <c r="G44" s="7"/>
      <c r="H44" s="7"/>
      <c r="I44" s="7"/>
      <c r="J44" s="7"/>
      <c r="K44" s="7"/>
      <c r="L44" s="7"/>
      <c r="M44" s="7"/>
      <c r="N44" s="7"/>
      <c r="O44" s="7"/>
      <c r="P44" s="7"/>
      <c r="Q44" s="7"/>
      <c r="R44" s="7"/>
      <c r="S44" s="7"/>
      <c r="T44" s="7"/>
      <c r="U44" s="7"/>
      <c r="V44" s="7"/>
      <c r="W44" s="7"/>
      <c r="X44" s="7"/>
    </row>
    <row r="45" spans="1:24" x14ac:dyDescent="0.3">
      <c r="A45" s="7"/>
      <c r="B45" s="7"/>
      <c r="C45" s="7"/>
      <c r="D45" s="7"/>
      <c r="E45" s="7"/>
      <c r="F45" s="7"/>
      <c r="G45" s="7"/>
      <c r="H45" s="7"/>
      <c r="I45" s="7"/>
      <c r="J45" s="7"/>
      <c r="K45" s="7"/>
      <c r="L45" s="7"/>
      <c r="M45" s="7"/>
      <c r="N45" s="7"/>
      <c r="O45" s="7"/>
      <c r="P45" s="7"/>
      <c r="Q45" s="7"/>
      <c r="R45" s="7"/>
      <c r="S45" s="7"/>
      <c r="T45" s="7"/>
      <c r="U45" s="7"/>
      <c r="V45" s="7"/>
      <c r="W45" s="7"/>
      <c r="X45" s="7"/>
    </row>
    <row r="46" spans="1:24" x14ac:dyDescent="0.3">
      <c r="A46" s="7"/>
      <c r="B46" s="7"/>
      <c r="C46" s="7"/>
      <c r="D46" s="7"/>
      <c r="E46" s="7"/>
      <c r="F46" s="7"/>
      <c r="G46" s="7"/>
      <c r="H46" s="7"/>
      <c r="I46" s="7"/>
      <c r="J46" s="7"/>
      <c r="K46" s="7"/>
      <c r="L46" s="7"/>
      <c r="M46" s="7"/>
      <c r="N46" s="7"/>
      <c r="O46" s="7"/>
      <c r="P46" s="7"/>
      <c r="Q46" s="7"/>
      <c r="R46" s="7"/>
      <c r="S46" s="7"/>
      <c r="T46" s="7"/>
      <c r="U46" s="7"/>
      <c r="V46" s="7"/>
      <c r="W46" s="7"/>
      <c r="X46" s="7"/>
    </row>
    <row r="47" spans="1:24" x14ac:dyDescent="0.3">
      <c r="A47" s="7"/>
      <c r="B47" s="7"/>
      <c r="C47" s="7"/>
      <c r="D47" s="7"/>
      <c r="E47" s="7"/>
      <c r="F47" s="7"/>
      <c r="G47" s="7"/>
      <c r="H47" s="7"/>
      <c r="I47" s="7"/>
      <c r="J47" s="7"/>
      <c r="K47" s="7"/>
      <c r="L47" s="7"/>
      <c r="M47" s="7"/>
      <c r="N47" s="7"/>
      <c r="O47" s="7"/>
      <c r="P47" s="7"/>
      <c r="Q47" s="7"/>
      <c r="R47" s="7"/>
      <c r="S47" s="7"/>
      <c r="T47" s="7"/>
      <c r="U47" s="7"/>
      <c r="V47" s="7"/>
      <c r="W47" s="7"/>
      <c r="X47" s="7"/>
    </row>
    <row r="48" spans="1:24" x14ac:dyDescent="0.3">
      <c r="A48" s="7"/>
      <c r="B48" s="7"/>
      <c r="C48" s="7"/>
      <c r="D48" s="7"/>
      <c r="E48" s="7"/>
      <c r="F48" s="7"/>
      <c r="G48" s="7"/>
      <c r="H48" s="7"/>
      <c r="I48" s="7"/>
      <c r="J48" s="7"/>
      <c r="K48" s="7"/>
      <c r="L48" s="7"/>
      <c r="M48" s="7"/>
      <c r="N48" s="7"/>
      <c r="O48" s="7"/>
      <c r="P48" s="7"/>
      <c r="Q48" s="7"/>
      <c r="R48" s="7"/>
      <c r="S48" s="7"/>
      <c r="T48" s="7"/>
      <c r="U48" s="7"/>
      <c r="V48" s="7"/>
      <c r="W48" s="7"/>
      <c r="X48" s="7"/>
    </row>
    <row r="49" spans="1:24" x14ac:dyDescent="0.3">
      <c r="A49" s="7"/>
      <c r="B49" s="7"/>
      <c r="C49" s="7"/>
      <c r="D49" s="7"/>
      <c r="E49" s="7"/>
      <c r="F49" s="7"/>
      <c r="G49" s="7"/>
      <c r="H49" s="7"/>
      <c r="I49" s="7"/>
      <c r="J49" s="7"/>
      <c r="K49" s="7"/>
      <c r="L49" s="7"/>
      <c r="M49" s="7"/>
      <c r="N49" s="7"/>
      <c r="O49" s="7"/>
      <c r="P49" s="7"/>
      <c r="Q49" s="7"/>
      <c r="R49" s="7"/>
      <c r="S49" s="7"/>
      <c r="T49" s="7"/>
      <c r="U49" s="7"/>
      <c r="V49" s="7"/>
      <c r="W49" s="7"/>
      <c r="X49" s="7"/>
    </row>
    <row r="50" spans="1:24" x14ac:dyDescent="0.3">
      <c r="A50" s="7"/>
      <c r="B50" s="7"/>
      <c r="C50" s="7"/>
      <c r="D50" s="7"/>
      <c r="E50" s="7"/>
      <c r="F50" s="7"/>
      <c r="G50" s="7"/>
      <c r="H50" s="7"/>
      <c r="I50" s="7"/>
      <c r="J50" s="7"/>
      <c r="K50" s="7"/>
      <c r="L50" s="7"/>
      <c r="M50" s="7"/>
      <c r="N50" s="7"/>
      <c r="O50" s="7"/>
      <c r="P50" s="7"/>
      <c r="Q50" s="7"/>
      <c r="R50" s="7"/>
      <c r="S50" s="7"/>
      <c r="T50" s="7"/>
      <c r="U50" s="7"/>
      <c r="V50" s="7"/>
      <c r="W50" s="7"/>
      <c r="X50" s="7"/>
    </row>
    <row r="51" spans="1:24" x14ac:dyDescent="0.3">
      <c r="A51" s="7"/>
      <c r="B51" s="7"/>
      <c r="C51" s="7"/>
      <c r="D51" s="7"/>
      <c r="E51" s="7"/>
      <c r="F51" s="7"/>
      <c r="G51" s="7"/>
      <c r="H51" s="7"/>
      <c r="I51" s="7"/>
      <c r="J51" s="7"/>
      <c r="K51" s="7"/>
      <c r="L51" s="7"/>
      <c r="M51" s="7"/>
      <c r="N51" s="7"/>
      <c r="O51" s="7"/>
      <c r="P51" s="7"/>
      <c r="Q51" s="7"/>
      <c r="R51" s="7"/>
      <c r="S51" s="7"/>
      <c r="T51" s="7"/>
      <c r="U51" s="7"/>
      <c r="V51" s="7"/>
      <c r="W51" s="7"/>
      <c r="X51" s="7"/>
    </row>
    <row r="52" spans="1:24" x14ac:dyDescent="0.3">
      <c r="A52" s="7"/>
      <c r="B52" s="7"/>
      <c r="C52" s="7"/>
      <c r="D52" s="7"/>
      <c r="E52" s="7"/>
      <c r="F52" s="7"/>
      <c r="G52" s="7"/>
      <c r="H52" s="7"/>
      <c r="I52" s="7"/>
      <c r="J52" s="7"/>
      <c r="K52" s="7"/>
      <c r="L52" s="7"/>
      <c r="M52" s="7"/>
      <c r="N52" s="7"/>
      <c r="O52" s="7"/>
      <c r="P52" s="7"/>
      <c r="Q52" s="7"/>
      <c r="R52" s="7"/>
      <c r="S52" s="7"/>
      <c r="T52" s="7"/>
      <c r="U52" s="7"/>
      <c r="V52" s="7"/>
      <c r="W52" s="7"/>
      <c r="X52" s="7"/>
    </row>
    <row r="53" spans="1:24" x14ac:dyDescent="0.3">
      <c r="A53" s="7"/>
      <c r="B53" s="7"/>
      <c r="C53" s="7"/>
      <c r="D53" s="7"/>
      <c r="E53" s="7"/>
      <c r="F53" s="7"/>
      <c r="G53" s="7"/>
      <c r="H53" s="7"/>
      <c r="I53" s="7"/>
      <c r="J53" s="7"/>
      <c r="K53" s="7"/>
      <c r="L53" s="7"/>
      <c r="M53" s="7"/>
      <c r="N53" s="7"/>
      <c r="O53" s="7"/>
      <c r="P53" s="7"/>
      <c r="Q53" s="7"/>
      <c r="R53" s="7"/>
      <c r="S53" s="7"/>
      <c r="T53" s="7"/>
      <c r="U53" s="7"/>
      <c r="V53" s="7"/>
      <c r="W53" s="7"/>
      <c r="X53" s="7"/>
    </row>
    <row r="54" spans="1:24" x14ac:dyDescent="0.3">
      <c r="A54" s="7"/>
      <c r="B54" s="7"/>
      <c r="C54" s="7"/>
      <c r="D54" s="7"/>
      <c r="E54" s="7"/>
      <c r="F54" s="7"/>
      <c r="G54" s="7"/>
      <c r="H54" s="7"/>
      <c r="I54" s="7"/>
      <c r="J54" s="7"/>
      <c r="K54" s="7"/>
      <c r="L54" s="7"/>
      <c r="M54" s="7"/>
      <c r="N54" s="7"/>
      <c r="O54" s="7"/>
      <c r="P54" s="7"/>
      <c r="Q54" s="7"/>
      <c r="R54" s="7"/>
      <c r="S54" s="7"/>
      <c r="T54" s="7"/>
      <c r="U54" s="7"/>
      <c r="V54" s="7"/>
      <c r="W54" s="7"/>
      <c r="X54" s="7"/>
    </row>
    <row r="55" spans="1:24" x14ac:dyDescent="0.3">
      <c r="A55" s="7"/>
      <c r="B55" s="7"/>
      <c r="C55" s="7"/>
      <c r="D55" s="7"/>
      <c r="E55" s="7"/>
      <c r="F55" s="7"/>
      <c r="G55" s="7"/>
      <c r="H55" s="7"/>
      <c r="I55" s="7"/>
      <c r="J55" s="7"/>
      <c r="K55" s="7"/>
      <c r="L55" s="7"/>
      <c r="M55" s="7"/>
      <c r="N55" s="7"/>
      <c r="O55" s="7"/>
      <c r="P55" s="7"/>
      <c r="Q55" s="7"/>
      <c r="R55" s="7"/>
      <c r="S55" s="7"/>
      <c r="T55" s="7"/>
      <c r="U55" s="7"/>
      <c r="V55" s="7"/>
      <c r="W55" s="7"/>
      <c r="X55" s="7"/>
    </row>
    <row r="56" spans="1:24" x14ac:dyDescent="0.3">
      <c r="A56" s="7"/>
      <c r="B56" s="7"/>
      <c r="C56" s="7"/>
      <c r="D56" s="7"/>
      <c r="E56" s="7"/>
      <c r="F56" s="7"/>
      <c r="G56" s="7"/>
      <c r="H56" s="7"/>
      <c r="I56" s="7"/>
      <c r="J56" s="7"/>
      <c r="K56" s="7"/>
      <c r="L56" s="7"/>
      <c r="M56" s="7"/>
      <c r="N56" s="7"/>
      <c r="O56" s="7"/>
      <c r="P56" s="7"/>
      <c r="Q56" s="7"/>
      <c r="R56" s="7"/>
      <c r="S56" s="7"/>
      <c r="T56" s="7"/>
      <c r="U56" s="7"/>
      <c r="V56" s="7"/>
      <c r="W56" s="7"/>
      <c r="X56" s="7"/>
    </row>
    <row r="57" spans="1:24" x14ac:dyDescent="0.3">
      <c r="A57" s="7"/>
      <c r="B57" s="7"/>
      <c r="C57" s="7"/>
      <c r="D57" s="7"/>
      <c r="E57" s="7"/>
      <c r="F57" s="7"/>
      <c r="G57" s="7"/>
      <c r="H57" s="7"/>
      <c r="I57" s="7"/>
      <c r="J57" s="7"/>
      <c r="K57" s="7"/>
      <c r="L57" s="7"/>
      <c r="M57" s="7"/>
      <c r="N57" s="7"/>
      <c r="O57" s="7"/>
      <c r="P57" s="7"/>
      <c r="Q57" s="7"/>
      <c r="R57" s="7"/>
      <c r="S57" s="7"/>
      <c r="T57" s="7"/>
      <c r="U57" s="7"/>
      <c r="V57" s="7"/>
      <c r="W57" s="7"/>
      <c r="X57" s="7"/>
    </row>
  </sheetData>
  <sheetProtection selectLockedCells="1"/>
  <mergeCells count="1">
    <mergeCell ref="A1: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LAUREEN TANDON</cp:lastModifiedBy>
  <cp:revision/>
  <cp:lastPrinted>2026-04-30T16:52:56Z</cp:lastPrinted>
  <dcterms:created xsi:type="dcterms:W3CDTF">2026-04-19T15:23:14Z</dcterms:created>
  <dcterms:modified xsi:type="dcterms:W3CDTF">2026-04-30T18:29:41Z</dcterms:modified>
  <cp:category/>
  <cp:contentStatus/>
</cp:coreProperties>
</file>